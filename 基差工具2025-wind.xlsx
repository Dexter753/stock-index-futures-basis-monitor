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基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<sst xmlns="http://schemas.openxmlformats.org/spreadsheetml/2006/main" count="41" uniqueCount="25">
  <si>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合约</t>
  </si>
  <si>
    <t>上市日</t>
  </si>
  <si>
    <t>交易日（已更新2026真实交易日）</t>
  </si>
  <si>
    <t>最后交易日</t>
  </si>
  <si>
    <t>交易日</t>
  </si>
  <si>
    <t>自然日</t>
  </si>
  <si>
    <t>today</t>
  </si>
  <si>
    <t>IF</t>
  </si>
  <si>
    <t>现价</t>
  </si>
  <si>
    <t>000300.SH</t>
  </si>
  <si>
    <t>合约总天数</t>
  </si>
  <si>
    <t>合约剩余天数</t>
  </si>
  <si>
    <t>剩余天数占比</t>
  </si>
  <si>
    <t>基差(期-现)</t>
  </si>
  <si>
    <t>基差占比</t>
  </si>
  <si>
    <t>年化(交易日)</t>
  </si>
  <si>
    <t>年化(自然日)</t>
  </si>
  <si>
    <t>IC</t>
  </si>
  <si>
    <t>000905.SH</t>
  </si>
  <si>
    <t>IM</t>
  </si>
  <si>
    <t>000852.SH</t>
  </si>
  <si>
    <t>价差差值</t>
  </si>
  <si>
    <t>到期天数差值</t>
  </si>
  <si>
    <t>差值/到期天数差值</t>
  </si>
  <si>
    <t>年化对冲成本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</si>
</sst>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"/>
    <numFmt numFmtId="178" formatCode="yyyy/m/d;@"/>
    <numFmt numFmtId="179" formatCode="###,###,##0.0000"/>
    <numFmt numFmtId="180" formatCode="0.0%"/>
    <numFmt numFmtId="181" formatCode="0.0000%"/>
    <numFmt numFmtId="182" formatCode="#,##0.00_ "/>
    <numFmt numFmtId="183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7619556260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50" applyNumberFormat="1" applyFont="1" applyFill="1" applyBorder="1" applyAlignment="1">
      <alignment vertical="center"/>
    </xf>
    <xf numFmtId="0" fontId="0" fillId="0" borderId="1" xfId="50" applyNumberFormat="1" applyBorder="1">
      <alignment vertical="center"/>
    </xf>
    <xf numFmtId="0" fontId="0" fillId="0" borderId="1" xfId="50" applyNumberFormat="1" applyFont="1" applyBorder="1">
      <alignment vertical="center"/>
    </xf>
    <xf numFmtId="49" fontId="0" fillId="0" borderId="0" xfId="50" applyNumberFormat="1">
      <alignment vertical="center"/>
    </xf>
    <xf numFmtId="176" fontId="0" fillId="0" borderId="0" xfId="49" applyNumberFormat="1" applyFont="1">
      <alignment vertical="center"/>
    </xf>
    <xf numFmtId="0" fontId="0" fillId="0" borderId="0" xfId="50">
      <alignment vertical="center"/>
    </xf>
    <xf numFmtId="0" fontId="0" fillId="0" borderId="0" xfId="0" applyFont="1">
      <alignment vertical="center"/>
    </xf>
    <xf numFmtId="14" fontId="0" fillId="0" borderId="1" xfId="0" applyNumberFormat="1" applyBorder="1">
      <alignment vertical="center"/>
    </xf>
    <xf numFmtId="14" fontId="1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3" borderId="0" xfId="50" applyFill="1">
      <alignment vertical="center"/>
    </xf>
    <xf numFmtId="14" fontId="0" fillId="3" borderId="0" xfId="50" applyNumberFormat="1" applyFill="1">
      <alignment vertical="center"/>
    </xf>
    <xf numFmtId="178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180" fontId="0" fillId="0" borderId="0" xfId="49" applyNumberFormat="1" applyFont="1">
      <alignment vertical="center"/>
    </xf>
    <xf numFmtId="177" fontId="0" fillId="4" borderId="0" xfId="0" applyNumberFormat="1" applyFill="1">
      <alignment vertical="center"/>
    </xf>
    <xf numFmtId="180" fontId="0" fillId="4" borderId="0" xfId="49" applyNumberFormat="1" applyFont="1" applyFill="1">
      <alignment vertical="center"/>
    </xf>
    <xf numFmtId="181" fontId="0" fillId="0" borderId="0" xfId="3" applyNumberFormat="1" applyFont="1">
      <alignment vertical="center"/>
    </xf>
    <xf numFmtId="2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4" borderId="0" xfId="0" applyFont="1" applyFill="1">
      <alignment vertical="center"/>
    </xf>
    <xf numFmtId="179" fontId="3" fillId="0" borderId="0" xfId="0" applyNumberFormat="1" applyFont="1">
      <alignment vertical="center"/>
    </xf>
    <xf numFmtId="182" fontId="3" fillId="4" borderId="0" xfId="0" applyNumberFormat="1" applyFont="1" applyFill="1">
      <alignment vertical="center"/>
    </xf>
    <xf numFmtId="183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W505"/>
  <sheetViews>
    <sheetView tabSelected="1" workbookViewId="0">
      <selection activeCell="E3" sqref="E3"/>
    </sheetView>
  </sheetViews>
  <sheetFormatPr defaultColWidth="9" defaultRowHeight="14.25"/>
  <cols>
    <col min="1" max="1" width="3.5" customWidth="1"/>
    <col min="2" max="4" width="11.625" customWidth="1"/>
    <col min="5" max="6" width="13.875" customWidth="1"/>
    <col min="7" max="7" width="12.75" customWidth="1"/>
    <col min="8" max="8" width="11.125" customWidth="1"/>
    <col min="9" max="9" width="14.5" customWidth="1"/>
    <col min="10" max="10" width="13.875" customWidth="1"/>
    <col min="12" max="13" width="14.125"/>
    <col min="15" max="15" width="10.75" customWidth="1"/>
    <col min="16" max="18" width="11.625" customWidth="1"/>
    <col min="19" max="23" width="13.25" customWidth="1"/>
  </cols>
  <sheetData>
    <row r="1" spans="2:23">
      <c r="B1" s="1" t="s">
        <v>0</v>
      </c>
      <c r="C1" s="2">
        <v>2605</v>
      </c>
      <c r="D1" s="2">
        <v>2606</v>
      </c>
      <c r="E1" s="3">
        <v>2609</v>
      </c>
      <c r="F1" s="4">
        <v>2612</v>
      </c>
      <c r="J1" s="5"/>
      <c r="O1" s="6"/>
      <c r="P1" s="7"/>
      <c r="Q1" s="7"/>
      <c r="S1" s="8"/>
      <c r="T1" s="8"/>
      <c r="U1" s="8"/>
      <c r="V1" s="8"/>
      <c r="W1" s="8"/>
    </row>
    <row r="2" spans="2:23">
      <c r="B2" s="1" t="s">
        <v>1</v>
      </c>
      <c r="C2" s="9">
        <v>46104</v>
      </c>
      <c r="D2" s="9">
        <v>45950</v>
      </c>
      <c r="E2" s="9">
        <v>46041</v>
      </c>
      <c r="F2" s="9">
        <v>46132</v>
      </c>
      <c r="O2" s="8" t="s">
        <v>2</v>
      </c>
      <c r="S2" s="8"/>
      <c r="T2" s="8"/>
      <c r="U2" s="8"/>
      <c r="W2" s="10"/>
    </row>
    <row r="3" spans="2:23">
      <c r="B3" s="1" t="s">
        <v>3</v>
      </c>
      <c r="C3" s="9">
        <v>46157</v>
      </c>
      <c r="D3" s="9">
        <v>46195</v>
      </c>
      <c r="E3" s="9">
        <v>46283</v>
      </c>
      <c r="F3" s="9">
        <v>46374</v>
      </c>
      <c r="O3" s="11">
        <v>45659</v>
      </c>
      <c r="P3">
        <v>1</v>
      </c>
      <c r="S3" s="12"/>
      <c r="T3" s="12"/>
      <c r="U3" s="12"/>
      <c r="V3" s="12"/>
      <c r="W3" s="13"/>
    </row>
    <row r="4" spans="2:23">
      <c r="B4" s="1"/>
      <c r="C4" s="1"/>
      <c r="D4" s="1"/>
      <c r="E4" s="1"/>
      <c r="F4" s="1"/>
      <c r="O4" s="11">
        <v>45660</v>
      </c>
      <c r="P4">
        <v>2</v>
      </c>
      <c r="S4" s="12"/>
      <c r="T4" s="12"/>
      <c r="U4" s="12"/>
      <c r="V4" s="12"/>
      <c r="W4" s="13"/>
    </row>
    <row r="5" spans="2:23">
      <c r="B5" s="14" t="s">
        <v>4</v>
      </c>
      <c r="C5" s="14">
        <v>242</v>
      </c>
      <c r="D5" s="14" t="s">
        <v>5</v>
      </c>
      <c r="E5" s="14">
        <v>365</v>
      </c>
      <c r="F5" s="14"/>
      <c r="O5" s="11">
        <v>45663</v>
      </c>
      <c r="P5">
        <v>3</v>
      </c>
      <c r="S5" s="12"/>
      <c r="T5" s="12"/>
      <c r="U5" s="12"/>
      <c r="V5" s="12"/>
      <c r="W5" s="13"/>
    </row>
    <row r="6" spans="2:23">
      <c r="B6" s="15" t="s">
        <v>6</v>
      </c>
      <c r="C6" s="16">
        <f ca="1">TODAY()</f>
        <v>46153</v>
      </c>
      <c r="O6" s="11">
        <v>45664</v>
      </c>
      <c r="P6">
        <v>4</v>
      </c>
      <c r="S6" s="12"/>
      <c r="T6" s="12"/>
      <c r="U6" s="12"/>
      <c r="V6" s="12"/>
      <c r="W6" s="13"/>
    </row>
    <row r="7" spans="2:23">
      <c r="C7" s="17"/>
      <c r="O7" s="11">
        <v>45665</v>
      </c>
      <c r="P7">
        <v>5</v>
      </c>
      <c r="S7" s="12"/>
      <c r="T7" s="12"/>
      <c r="U7" s="12"/>
      <c r="V7" s="12"/>
      <c r="W7" s="13"/>
    </row>
    <row r="8" spans="2:23">
      <c r="B8" s="18" t="s">
        <v>7</v>
      </c>
      <c r="C8" s="19" t="s">
        <v>8</v>
      </c>
      <c r="G8" s="13"/>
      <c r="O8" s="11">
        <v>45666</v>
      </c>
      <c r="P8">
        <v>6</v>
      </c>
      <c r="S8" s="12"/>
      <c r="T8" s="12"/>
      <c r="U8" s="12"/>
      <c r="V8" s="12"/>
      <c r="W8" s="13"/>
    </row>
    <row r="9" spans="2:23">
      <c r="B9" s="18" t="s">
        <v>9</v>
      </c>
      <c r="C9" s="20">
        <f>RTD("wdf.rtq",,B9,"Rt_Price")</f>
        <v>4951.84</v>
      </c>
      <c r="D9" s="21" t="s">
        <v>10</v>
      </c>
      <c r="E9" t="s">
        <v>11</v>
      </c>
      <c r="F9" t="s">
        <v>12</v>
      </c>
      <c r="G9" s="13" t="s">
        <v>13</v>
      </c>
      <c r="H9" t="s">
        <v>14</v>
      </c>
      <c r="I9" t="s">
        <v>15</v>
      </c>
      <c r="J9" t="s">
        <v>16</v>
      </c>
      <c r="O9" s="11">
        <v>45667</v>
      </c>
      <c r="P9">
        <v>7</v>
      </c>
      <c r="S9" s="12"/>
      <c r="T9" s="12"/>
      <c r="U9" s="12"/>
      <c r="V9" s="12"/>
      <c r="W9" s="13"/>
    </row>
    <row r="10" spans="2:23">
      <c r="B10" t="str">
        <f>$B$8&amp;$C$1&amp;".CFE"</f>
        <v>IF2605.CFE</v>
      </c>
      <c r="C10" s="20">
        <f>RTD("wdf.rtq",,B10,"Rt_Price")</f>
        <v>4940.4</v>
      </c>
      <c r="D10" s="22">
        <f>D16</f>
        <v>36</v>
      </c>
      <c r="E10">
        <f ca="1">E22</f>
        <v>4</v>
      </c>
      <c r="F10" s="23">
        <f ca="1">E10/$C$5</f>
        <v>0.0165289256198347</v>
      </c>
      <c r="G10" s="24">
        <f>C10-$C$9</f>
        <v>-11.4399999999996</v>
      </c>
      <c r="H10" s="23">
        <f>G10/$C$9*-1</f>
        <v>0.0023102523506413</v>
      </c>
      <c r="I10" s="25">
        <f ca="1">H10/F10</f>
        <v>0.139770267213799</v>
      </c>
      <c r="J10" s="23"/>
      <c r="L10" s="26"/>
      <c r="O10" s="11">
        <v>45670</v>
      </c>
      <c r="P10">
        <v>8</v>
      </c>
      <c r="S10" s="12"/>
      <c r="T10" s="12"/>
      <c r="U10" s="12"/>
      <c r="V10" s="12"/>
      <c r="W10" s="13"/>
    </row>
    <row r="11" spans="2:23">
      <c r="B11" t="str">
        <f>$B$8&amp;$D$1&amp;".CFE"</f>
        <v>IF2606.CFE</v>
      </c>
      <c r="C11" s="20">
        <f>RTD("wdf.rtq",,B11,"Rt_Price")</f>
        <v>4912.6</v>
      </c>
      <c r="D11" s="22">
        <f>D17</f>
        <v>163</v>
      </c>
      <c r="E11">
        <f ca="1">E23</f>
        <v>29</v>
      </c>
      <c r="F11" s="23">
        <f ca="1">E11/$C$5</f>
        <v>0.119834710743802</v>
      </c>
      <c r="G11" s="24">
        <f>C11-$C$9</f>
        <v>-39.2399999999998</v>
      </c>
      <c r="H11" s="23">
        <f>G11/$C$9*-1</f>
        <v>0.00792432711880832</v>
      </c>
      <c r="I11" s="25">
        <f ca="1">H11/F11</f>
        <v>0.0661271435431591</v>
      </c>
      <c r="J11" s="23"/>
      <c r="O11" s="11">
        <v>45671</v>
      </c>
      <c r="P11">
        <v>9</v>
      </c>
      <c r="S11" s="12"/>
      <c r="T11" s="12"/>
      <c r="U11" s="12"/>
      <c r="V11" s="12"/>
      <c r="W11" s="13"/>
    </row>
    <row r="12" spans="2:23">
      <c r="B12" t="str">
        <f>$B$8&amp;$E$1&amp;".CFE"</f>
        <v>IF2609.CFE</v>
      </c>
      <c r="C12" s="20">
        <f>RTD("wdf.rtq",,B12,"Rt_Price")</f>
        <v>4840.8</v>
      </c>
      <c r="D12" s="22">
        <f>D18</f>
        <v>164</v>
      </c>
      <c r="E12">
        <f ca="1">E24</f>
        <v>93</v>
      </c>
      <c r="F12" s="23">
        <f ca="1">E12/$C$5</f>
        <v>0.384297520661157</v>
      </c>
      <c r="G12" s="24">
        <f>C12-$C$9</f>
        <v>-111.04</v>
      </c>
      <c r="H12" s="23">
        <f>G12/$C$9*-1</f>
        <v>0.0224239878509806</v>
      </c>
      <c r="I12" s="25">
        <f ca="1">H12/F12</f>
        <v>0.0583505920423366</v>
      </c>
      <c r="J12" s="23"/>
      <c r="O12" s="11">
        <v>45672</v>
      </c>
      <c r="P12">
        <v>10</v>
      </c>
      <c r="S12" s="12"/>
      <c r="T12" s="12"/>
      <c r="U12" s="12"/>
      <c r="V12" s="12"/>
      <c r="W12" s="13"/>
    </row>
    <row r="13" spans="2:23">
      <c r="B13" t="str">
        <f>$B$8&amp;$F$1&amp;".CFE"</f>
        <v>IF2612.CFE</v>
      </c>
      <c r="C13" s="20">
        <f>RTD("wdf.rtq",,B13,"Rt_Price")</f>
        <v>4791.8</v>
      </c>
      <c r="D13" s="22">
        <f>D19</f>
        <v>165</v>
      </c>
      <c r="E13">
        <f ca="1">E25</f>
        <v>152</v>
      </c>
      <c r="F13" s="23">
        <f ca="1">E13/$C$5</f>
        <v>0.628099173553719</v>
      </c>
      <c r="G13" s="24">
        <f>C13-$C$9</f>
        <v>-160.04</v>
      </c>
      <c r="H13" s="23">
        <f>G13/$C$9*-1</f>
        <v>0.0323192994927138</v>
      </c>
      <c r="I13" s="25">
        <f ca="1">H13/F13</f>
        <v>0.0514557268239259</v>
      </c>
      <c r="J13" s="23"/>
      <c r="L13" s="26"/>
      <c r="O13" s="11">
        <v>45673</v>
      </c>
      <c r="P13">
        <v>11</v>
      </c>
      <c r="S13" s="12"/>
      <c r="T13" s="12"/>
      <c r="U13" s="12"/>
      <c r="V13" s="12"/>
      <c r="W13" s="13"/>
    </row>
    <row r="14" spans="2:23">
      <c r="B14" s="18" t="s">
        <v>17</v>
      </c>
      <c r="C14" s="27"/>
      <c r="O14" s="11">
        <v>45674</v>
      </c>
      <c r="P14">
        <v>12</v>
      </c>
      <c r="S14" s="12"/>
      <c r="T14" s="12"/>
      <c r="U14" s="12"/>
      <c r="V14" s="12"/>
      <c r="W14" s="13"/>
    </row>
    <row r="15" spans="2:23">
      <c r="B15" s="18" t="s">
        <v>18</v>
      </c>
      <c r="C15" s="20">
        <f>RTD("wdf.rtq",,B15,"Rt_Price")</f>
        <v>8839.74</v>
      </c>
      <c r="D15" s="21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O15" s="11">
        <v>45677</v>
      </c>
      <c r="P15">
        <v>13</v>
      </c>
    </row>
    <row r="16" spans="2:23">
      <c r="B16" t="str">
        <f>$B$14&amp;$C$1&amp;".CFE"</f>
        <v>IC2605.CFE</v>
      </c>
      <c r="C16" s="20">
        <f>RTD("wdf.rtq",,B16,"Rt_Price")</f>
        <v>8813.4</v>
      </c>
      <c r="D16" s="22">
        <f>VLOOKUP(C3,$O:$P,2,FALSE)-VLOOKUP(C2,$O:$P,2,FALSE)+1</f>
        <v>36</v>
      </c>
      <c r="E16">
        <f ca="1">VLOOKUP(C3,$O:$P,2,FALSE)-VLOOKUP($C$6,$O:$P,2,FALSE)</f>
        <v>4</v>
      </c>
      <c r="F16" s="23">
        <f ca="1">E16/$C$5</f>
        <v>0.0165289256198347</v>
      </c>
      <c r="G16" s="24">
        <f>C16-$C$15</f>
        <v>-26.3400000000001</v>
      </c>
      <c r="H16" s="23">
        <f>G16/$C$15*-1</f>
        <v>0.00297972564803944</v>
      </c>
      <c r="I16" s="25">
        <f ca="1">H16/F16</f>
        <v>0.180273401706386</v>
      </c>
      <c r="J16" s="23"/>
      <c r="O16" s="11">
        <v>45678</v>
      </c>
      <c r="P16">
        <v>14</v>
      </c>
    </row>
    <row r="17" spans="2:16">
      <c r="B17" t="str">
        <f>$B$14&amp;$D$1&amp;".CFE"</f>
        <v>IC2606.CFE</v>
      </c>
      <c r="C17" s="20">
        <f>RTD("wdf.rtq",,B17,"Rt_Price")</f>
        <v>8738.6</v>
      </c>
      <c r="D17" s="22">
        <f>VLOOKUP(D3,$O:$P,2,FALSE)-VLOOKUP(D2,$O:$P,2,FALSE)+1</f>
        <v>163</v>
      </c>
      <c r="E17">
        <f ca="1">VLOOKUP(D3,$O:$P,2,FALSE)-VLOOKUP($C$6,$O:$P,2,FALSE)</f>
        <v>29</v>
      </c>
      <c r="F17" s="23">
        <f ca="1">E17/$C$5</f>
        <v>0.119834710743802</v>
      </c>
      <c r="G17" s="24">
        <f>C17-$C$15</f>
        <v>-101.139999999999</v>
      </c>
      <c r="H17" s="23">
        <f>G17/$C$15*-1</f>
        <v>0.011441512985676</v>
      </c>
      <c r="I17" s="25">
        <f ca="1">H17/F17</f>
        <v>0.0954774531908135</v>
      </c>
      <c r="J17" s="23"/>
      <c r="O17" s="11">
        <v>45679</v>
      </c>
      <c r="P17">
        <v>15</v>
      </c>
    </row>
    <row r="18" spans="2:16">
      <c r="B18" t="str">
        <f>$B$14&amp;$E$1&amp;".CFE"</f>
        <v>IC2609.CFE</v>
      </c>
      <c r="C18" s="20">
        <f>RTD("wdf.rtq",,B18,"Rt_Price")</f>
        <v>8599.4</v>
      </c>
      <c r="D18" s="22">
        <f>VLOOKUP(E3,$O:$P,2,FALSE)-VLOOKUP(E2,$O:$P,2,FALSE)+1</f>
        <v>164</v>
      </c>
      <c r="E18">
        <f ca="1">VLOOKUP(E3,$O:$P,2,FALSE)-VLOOKUP($C$6,$O:$P,2,FALSE)</f>
        <v>93</v>
      </c>
      <c r="F18" s="23">
        <f ca="1">E18/$C$5</f>
        <v>0.384297520661157</v>
      </c>
      <c r="G18" s="24">
        <f>C18-$C$15</f>
        <v>-240.34</v>
      </c>
      <c r="H18" s="23">
        <f>G18/$C$15*-1</f>
        <v>0.0271885824696202</v>
      </c>
      <c r="I18" s="25">
        <f ca="1">H18/F18</f>
        <v>0.0707487844908397</v>
      </c>
      <c r="J18" s="23"/>
      <c r="O18" s="11">
        <v>45680</v>
      </c>
      <c r="P18">
        <v>16</v>
      </c>
    </row>
    <row r="19" spans="2:16">
      <c r="B19" t="str">
        <f>$B$14&amp;$F$1&amp;".CFE"</f>
        <v>IC2612.CFE</v>
      </c>
      <c r="C19" s="20">
        <f>RTD("wdf.rtq",,B19,"Rt_Price")</f>
        <v>8465.6</v>
      </c>
      <c r="D19" s="22">
        <f>VLOOKUP(F3,$O:$P,2,FALSE)-VLOOKUP(F2,$O:$P,2,FALSE)+1</f>
        <v>165</v>
      </c>
      <c r="E19">
        <f ca="1">VLOOKUP(F3,$O:$P,2,FALSE)-VLOOKUP($C$6,$O:$P,2,FALSE)</f>
        <v>152</v>
      </c>
      <c r="F19" s="23">
        <f ca="1">E19/$C$5</f>
        <v>0.628099173553719</v>
      </c>
      <c r="G19" s="24">
        <f>C19-$C$15</f>
        <v>-374.139999999999</v>
      </c>
      <c r="H19" s="23">
        <f>G19/$C$15*-1</f>
        <v>0.0423247742580663</v>
      </c>
      <c r="I19" s="25">
        <f ca="1">H19/F19</f>
        <v>0.0673854958582371</v>
      </c>
      <c r="J19" s="23"/>
      <c r="O19" s="11">
        <v>45681</v>
      </c>
      <c r="P19">
        <v>17</v>
      </c>
    </row>
    <row r="20" spans="2:16">
      <c r="B20" s="18" t="s">
        <v>19</v>
      </c>
      <c r="C20" s="27"/>
      <c r="O20" s="11">
        <v>45684</v>
      </c>
      <c r="P20">
        <v>18</v>
      </c>
    </row>
    <row r="21" spans="2:16">
      <c r="B21" s="18" t="s">
        <v>20</v>
      </c>
      <c r="C21" s="20">
        <f>RTD("wdf.rtq",,B21,"Rt_Price")</f>
        <v>8866.78</v>
      </c>
      <c r="D21" s="21" t="s">
        <v>10</v>
      </c>
      <c r="E21" t="s">
        <v>11</v>
      </c>
      <c r="F21" t="s">
        <v>12</v>
      </c>
      <c r="G21" s="13" t="s">
        <v>13</v>
      </c>
      <c r="H21" t="s">
        <v>14</v>
      </c>
      <c r="I21" t="s">
        <v>15</v>
      </c>
      <c r="J21" t="s">
        <v>16</v>
      </c>
      <c r="O21" s="11">
        <v>45693</v>
      </c>
      <c r="P21">
        <v>19</v>
      </c>
    </row>
    <row r="22" spans="2:16">
      <c r="B22" t="str">
        <f>$B$20&amp;$C$1&amp;".CFE"</f>
        <v>IM2605.CFE</v>
      </c>
      <c r="C22" s="20">
        <f>RTD("wdf.rtq",,B22,"Rt_Price")</f>
        <v>8820.2</v>
      </c>
      <c r="D22" s="22">
        <f>D16</f>
        <v>36</v>
      </c>
      <c r="E22">
        <f ca="1" t="shared" ref="D22:E25" si="0">E16</f>
        <v>4</v>
      </c>
      <c r="F22" s="23">
        <f ca="1">E22/$C$5</f>
        <v>0.0165289256198347</v>
      </c>
      <c r="G22" s="24">
        <f>C22-$C$21</f>
        <v>-46.5799999999999</v>
      </c>
      <c r="H22" s="23">
        <f>G22/$C$21*-1</f>
        <v>0.00525331631099451</v>
      </c>
      <c r="I22" s="25">
        <f ca="1">H22/F22</f>
        <v>0.317825636815168</v>
      </c>
      <c r="J22" s="23"/>
      <c r="O22" s="11">
        <v>45694</v>
      </c>
      <c r="P22">
        <v>20</v>
      </c>
    </row>
    <row r="23" spans="2:16">
      <c r="B23" t="str">
        <f>$B$20&amp;$D$1&amp;".CFE"</f>
        <v>IM2606.CFE</v>
      </c>
      <c r="C23" s="20">
        <f>RTD("wdf.rtq",,B23,"Rt_Price")</f>
        <v>8723</v>
      </c>
      <c r="D23" s="22">
        <f>D17</f>
        <v>163</v>
      </c>
      <c r="E23">
        <f ca="1" t="shared" si="0"/>
        <v>29</v>
      </c>
      <c r="F23" s="23">
        <f ca="1">E23/$C$5</f>
        <v>0.119834710743802</v>
      </c>
      <c r="G23" s="24">
        <f>C23-$C$21</f>
        <v>-143.780000000001</v>
      </c>
      <c r="H23" s="23">
        <f>G23/$C$21*-1</f>
        <v>0.016215582206844</v>
      </c>
      <c r="I23" s="25">
        <f ca="1">H23/F23</f>
        <v>0.135316237726078</v>
      </c>
      <c r="J23" s="23"/>
      <c r="O23" s="11">
        <v>45695</v>
      </c>
      <c r="P23">
        <v>21</v>
      </c>
    </row>
    <row r="24" spans="2:16">
      <c r="B24" t="str">
        <f>$B$20&amp;$E$1&amp;".CFE"</f>
        <v>IM2609.CFE</v>
      </c>
      <c r="C24" s="20">
        <f>RTD("wdf.rtq",,B24,"Rt_Price")</f>
        <v>8514.6</v>
      </c>
      <c r="D24" s="22">
        <f t="shared" si="0"/>
        <v>164</v>
      </c>
      <c r="E24">
        <f ca="1" t="shared" si="0"/>
        <v>93</v>
      </c>
      <c r="F24" s="23">
        <f ca="1">E24/$C$5</f>
        <v>0.384297520661157</v>
      </c>
      <c r="G24" s="24">
        <f>C24-$C$21</f>
        <v>-352.18</v>
      </c>
      <c r="H24" s="23">
        <f>G24/$C$21*-1</f>
        <v>0.0397190411851879</v>
      </c>
      <c r="I24" s="25">
        <f ca="1">H24/F24</f>
        <v>0.10335492437436</v>
      </c>
      <c r="J24" s="23"/>
      <c r="O24" s="11">
        <v>45698</v>
      </c>
      <c r="P24">
        <v>22</v>
      </c>
    </row>
    <row r="25" spans="2:16">
      <c r="B25" t="str">
        <f>$B$20&amp;$F$1&amp;".CFE"</f>
        <v>IM2612.CFE</v>
      </c>
      <c r="C25" s="20">
        <f>RTD("wdf.rtq",,B25,"Rt_Price")</f>
        <v>8324.4</v>
      </c>
      <c r="D25" s="22">
        <f t="shared" si="0"/>
        <v>165</v>
      </c>
      <c r="E25">
        <f ca="1" t="shared" si="0"/>
        <v>152</v>
      </c>
      <c r="F25" s="23">
        <f ca="1">E25/$C$5</f>
        <v>0.628099173553719</v>
      </c>
      <c r="G25" s="24">
        <f>C25-$C$21</f>
        <v>-542.380000000001</v>
      </c>
      <c r="H25" s="23">
        <f>G25/$C$21*-1</f>
        <v>0.0611698948208934</v>
      </c>
      <c r="I25" s="25">
        <f ca="1">H25/F25</f>
        <v>0.0973889114911592</v>
      </c>
      <c r="J25" s="23"/>
      <c r="O25" s="11">
        <v>45699</v>
      </c>
      <c r="P25">
        <v>23</v>
      </c>
    </row>
    <row r="26" spans="2:16">
      <c r="O26" s="11">
        <v>45700</v>
      </c>
      <c r="P26">
        <v>24</v>
      </c>
    </row>
    <row r="27" spans="2:16">
      <c r="O27" s="11">
        <v>45701</v>
      </c>
      <c r="P27">
        <v>25</v>
      </c>
    </row>
    <row r="28" spans="2:16">
      <c r="O28" s="11">
        <v>45702</v>
      </c>
      <c r="P28">
        <v>26</v>
      </c>
    </row>
    <row r="29" spans="2:16">
      <c r="B29" s="28"/>
      <c r="C29" s="28"/>
      <c r="D29" s="28" t="s">
        <v>11</v>
      </c>
      <c r="E29" s="28"/>
      <c r="F29" s="28"/>
      <c r="G29" s="28" t="s">
        <v>11</v>
      </c>
      <c r="H29" s="29" t="s">
        <v>21</v>
      </c>
      <c r="I29" s="28" t="s">
        <v>22</v>
      </c>
      <c r="J29" s="28" t="s">
        <v>23</v>
      </c>
      <c r="K29" s="28" t="s">
        <v>24</v>
      </c>
      <c r="O29" s="11">
        <v>45705</v>
      </c>
      <c r="P29">
        <v>27</v>
      </c>
    </row>
    <row r="30" spans="2:16">
      <c r="B30" s="29" t="str">
        <f>B10</f>
        <v>IF2605.CFE</v>
      </c>
      <c r="C30" s="30">
        <f>C10</f>
        <v>4940.4</v>
      </c>
      <c r="D30" s="28">
        <f ca="1">E10</f>
        <v>4</v>
      </c>
      <c r="E30" s="29" t="str">
        <f>B11</f>
        <v>IF2606.CFE</v>
      </c>
      <c r="F30" s="30">
        <f>C11</f>
        <v>4912.6</v>
      </c>
      <c r="G30" s="28">
        <f ca="1">E11</f>
        <v>29</v>
      </c>
      <c r="H30" s="31">
        <f>C30-F30</f>
        <v>27.8000000000002</v>
      </c>
      <c r="I30" s="28">
        <f ca="1">D30-G30</f>
        <v>-25</v>
      </c>
      <c r="J30" s="32">
        <f ca="1">H30/I30</f>
        <v>-1.11200000000001</v>
      </c>
      <c r="K30" s="33">
        <f ca="1">(H30/F30)/(I30/250)</f>
        <v>-0.0565891788462325</v>
      </c>
      <c r="O30" s="11">
        <v>45706</v>
      </c>
      <c r="P30">
        <v>28</v>
      </c>
    </row>
    <row r="31" spans="2:16">
      <c r="B31" s="29" t="str">
        <f>B16</f>
        <v>IC2605.CFE</v>
      </c>
      <c r="C31" s="30">
        <f>C16</f>
        <v>8813.4</v>
      </c>
      <c r="D31" s="28">
        <f ca="1">E16</f>
        <v>4</v>
      </c>
      <c r="E31" s="29" t="str">
        <f>B17</f>
        <v>IC2606.CFE</v>
      </c>
      <c r="F31" s="30">
        <f>C17</f>
        <v>8738.6</v>
      </c>
      <c r="G31" s="28">
        <f ca="1">E17</f>
        <v>29</v>
      </c>
      <c r="H31" s="31">
        <f>C31-F31</f>
        <v>74.7999999999993</v>
      </c>
      <c r="I31" s="28">
        <f ca="1">D31-G31</f>
        <v>-25</v>
      </c>
      <c r="J31" s="32">
        <f ca="1" t="shared" ref="J31:J32" si="1">H31/I31</f>
        <v>-2.99199999999997</v>
      </c>
      <c r="K31" s="33">
        <f ca="1" t="shared" ref="K31:K32" si="2">(H31/F31)/(I31/250)</f>
        <v>-0.0855972352550744</v>
      </c>
      <c r="O31" s="11">
        <v>45707</v>
      </c>
      <c r="P31">
        <v>29</v>
      </c>
    </row>
    <row r="32" spans="2:16">
      <c r="B32" s="29" t="str">
        <f>B22</f>
        <v>IM2605.CFE</v>
      </c>
      <c r="C32" s="30">
        <f>C22</f>
        <v>8820.2</v>
      </c>
      <c r="D32" s="28">
        <f ca="1">E22</f>
        <v>4</v>
      </c>
      <c r="E32" s="29" t="str">
        <f>B23</f>
        <v>IM2606.CFE</v>
      </c>
      <c r="F32" s="30">
        <f>C23</f>
        <v>8723</v>
      </c>
      <c r="G32" s="28">
        <f ca="1">E23</f>
        <v>29</v>
      </c>
      <c r="H32" s="31">
        <f>C32-F32</f>
        <v>97.2000000000007</v>
      </c>
      <c r="I32" s="28">
        <f ca="1" t="shared" ref="I32" si="3">D32-G32</f>
        <v>-25</v>
      </c>
      <c r="J32" s="32">
        <f ca="1" t="shared" si="1"/>
        <v>-3.88800000000003</v>
      </c>
      <c r="K32" s="33">
        <f ca="1" t="shared" si="2"/>
        <v>-0.111429554052506</v>
      </c>
      <c r="O32" s="11">
        <v>45708</v>
      </c>
      <c r="P32">
        <v>30</v>
      </c>
    </row>
    <row r="33" spans="15:16">
      <c r="O33" s="11">
        <v>45709</v>
      </c>
      <c r="P33">
        <v>31</v>
      </c>
    </row>
    <row r="34" spans="15:16">
      <c r="O34" s="11">
        <v>45712</v>
      </c>
      <c r="P34">
        <v>32</v>
      </c>
    </row>
    <row r="35" spans="15:16">
      <c r="O35" s="11">
        <v>45713</v>
      </c>
      <c r="P35">
        <v>33</v>
      </c>
    </row>
    <row r="36" spans="15:16">
      <c r="O36" s="11">
        <v>45714</v>
      </c>
      <c r="P36">
        <v>34</v>
      </c>
    </row>
    <row r="37" spans="15:16">
      <c r="O37" s="11">
        <v>45715</v>
      </c>
      <c r="P37">
        <v>35</v>
      </c>
    </row>
    <row r="38" spans="15:16">
      <c r="O38" s="11">
        <v>45716</v>
      </c>
      <c r="P38">
        <v>36</v>
      </c>
    </row>
    <row r="39" spans="15:16">
      <c r="O39" s="11">
        <v>45719</v>
      </c>
      <c r="P39">
        <v>37</v>
      </c>
    </row>
    <row r="40" spans="15:16">
      <c r="O40" s="11">
        <v>45720</v>
      </c>
      <c r="P40">
        <v>38</v>
      </c>
    </row>
    <row r="41" spans="15:16">
      <c r="O41" s="11">
        <v>45721</v>
      </c>
      <c r="P41">
        <v>39</v>
      </c>
    </row>
    <row r="42" spans="15:16">
      <c r="O42" s="11">
        <v>45722</v>
      </c>
      <c r="P42">
        <v>40</v>
      </c>
    </row>
    <row r="43" spans="15:16">
      <c r="O43" s="11">
        <v>45723</v>
      </c>
      <c r="P43">
        <v>41</v>
      </c>
    </row>
    <row r="44" spans="15:16">
      <c r="O44" s="11">
        <v>45726</v>
      </c>
      <c r="P44">
        <v>42</v>
      </c>
    </row>
    <row r="45" spans="15:16">
      <c r="O45" s="11">
        <v>45727</v>
      </c>
      <c r="P45">
        <v>43</v>
      </c>
    </row>
    <row r="46" spans="15:16">
      <c r="O46" s="11">
        <v>45728</v>
      </c>
      <c r="P46">
        <v>44</v>
      </c>
    </row>
    <row r="47" spans="15:16">
      <c r="O47" s="11">
        <v>45729</v>
      </c>
      <c r="P47">
        <v>45</v>
      </c>
    </row>
    <row r="48" spans="15:16">
      <c r="O48" s="11">
        <v>45730</v>
      </c>
      <c r="P48">
        <v>46</v>
      </c>
    </row>
    <row r="49" spans="15:16">
      <c r="O49" s="11">
        <v>45733</v>
      </c>
      <c r="P49">
        <v>47</v>
      </c>
    </row>
    <row r="50" spans="15:16">
      <c r="O50" s="11">
        <v>45734</v>
      </c>
      <c r="P50">
        <v>48</v>
      </c>
    </row>
    <row r="51" spans="15:16">
      <c r="O51" s="11">
        <v>45735</v>
      </c>
      <c r="P51">
        <v>49</v>
      </c>
    </row>
    <row r="52" spans="15:16">
      <c r="O52" s="11">
        <v>45736</v>
      </c>
      <c r="P52">
        <v>50</v>
      </c>
    </row>
    <row r="53" spans="15:16">
      <c r="O53" s="11">
        <v>45737</v>
      </c>
      <c r="P53">
        <v>51</v>
      </c>
    </row>
    <row r="54" spans="15:16">
      <c r="O54" s="11">
        <v>45740</v>
      </c>
      <c r="P54">
        <v>52</v>
      </c>
    </row>
    <row r="55" spans="15:16">
      <c r="O55" s="11">
        <v>45741</v>
      </c>
      <c r="P55">
        <v>53</v>
      </c>
    </row>
    <row r="56" spans="15:16">
      <c r="O56" s="11">
        <v>45742</v>
      </c>
      <c r="P56">
        <v>54</v>
      </c>
    </row>
    <row r="57" spans="15:16">
      <c r="O57" s="11">
        <v>45743</v>
      </c>
      <c r="P57">
        <v>55</v>
      </c>
    </row>
    <row r="58" spans="15:16">
      <c r="O58" s="11">
        <v>45744</v>
      </c>
      <c r="P58">
        <v>56</v>
      </c>
    </row>
    <row r="59" spans="15:16">
      <c r="O59" s="11">
        <v>45747</v>
      </c>
      <c r="P59">
        <v>57</v>
      </c>
    </row>
    <row r="60" spans="15:16">
      <c r="O60" s="11">
        <v>45748</v>
      </c>
      <c r="P60">
        <v>58</v>
      </c>
    </row>
    <row r="61" spans="15:16">
      <c r="O61" s="11">
        <v>45749</v>
      </c>
      <c r="P61">
        <v>59</v>
      </c>
    </row>
    <row r="62" spans="15:16">
      <c r="O62" s="11">
        <v>45750</v>
      </c>
      <c r="P62">
        <v>60</v>
      </c>
    </row>
    <row r="63" spans="15:16">
      <c r="O63" s="11">
        <v>45754</v>
      </c>
      <c r="P63">
        <v>61</v>
      </c>
    </row>
    <row r="64" spans="15:16">
      <c r="O64" s="11">
        <v>45755</v>
      </c>
      <c r="P64">
        <v>62</v>
      </c>
    </row>
    <row r="65" spans="15:16">
      <c r="O65" s="11">
        <v>45756</v>
      </c>
      <c r="P65">
        <v>63</v>
      </c>
    </row>
    <row r="66" spans="15:16">
      <c r="O66" s="11">
        <v>45757</v>
      </c>
      <c r="P66">
        <v>64</v>
      </c>
    </row>
    <row r="67" spans="15:16">
      <c r="O67" s="11">
        <v>45758</v>
      </c>
      <c r="P67">
        <v>65</v>
      </c>
    </row>
    <row r="68" spans="15:16">
      <c r="O68" s="11">
        <v>45761</v>
      </c>
      <c r="P68">
        <v>66</v>
      </c>
    </row>
    <row r="69" spans="15:16">
      <c r="O69" s="11">
        <v>45762</v>
      </c>
      <c r="P69">
        <v>67</v>
      </c>
    </row>
    <row r="70" spans="15:16">
      <c r="O70" s="11">
        <v>45763</v>
      </c>
      <c r="P70">
        <v>68</v>
      </c>
    </row>
    <row r="71" spans="15:16">
      <c r="O71" s="11">
        <v>45764</v>
      </c>
      <c r="P71">
        <v>69</v>
      </c>
    </row>
    <row r="72" spans="15:16">
      <c r="O72" s="11">
        <v>45765</v>
      </c>
      <c r="P72">
        <v>70</v>
      </c>
    </row>
    <row r="73" spans="15:16">
      <c r="O73" s="11">
        <v>45768</v>
      </c>
      <c r="P73">
        <v>71</v>
      </c>
    </row>
    <row r="74" spans="15:16">
      <c r="O74" s="11">
        <v>45769</v>
      </c>
      <c r="P74">
        <v>72</v>
      </c>
    </row>
    <row r="75" spans="15:16">
      <c r="O75" s="11">
        <v>45770</v>
      </c>
      <c r="P75">
        <v>73</v>
      </c>
    </row>
    <row r="76" spans="15:16">
      <c r="O76" s="11">
        <v>45771</v>
      </c>
      <c r="P76">
        <v>74</v>
      </c>
    </row>
    <row r="77" spans="15:16">
      <c r="O77" s="11">
        <v>45772</v>
      </c>
      <c r="P77">
        <v>75</v>
      </c>
    </row>
    <row r="78" spans="15:16">
      <c r="O78" s="11">
        <v>45775</v>
      </c>
      <c r="P78">
        <v>76</v>
      </c>
    </row>
    <row r="79" spans="15:16">
      <c r="O79" s="11">
        <v>45776</v>
      </c>
      <c r="P79">
        <v>77</v>
      </c>
    </row>
    <row r="80" spans="15:16">
      <c r="O80" s="11">
        <v>45777</v>
      </c>
      <c r="P80">
        <v>78</v>
      </c>
    </row>
    <row r="81" spans="15:16">
      <c r="O81" s="11">
        <v>45783</v>
      </c>
      <c r="P81">
        <v>79</v>
      </c>
    </row>
    <row r="82" spans="15:16">
      <c r="O82" s="11">
        <v>45784</v>
      </c>
      <c r="P82">
        <v>80</v>
      </c>
    </row>
    <row r="83" spans="15:16">
      <c r="O83" s="11">
        <v>45785</v>
      </c>
      <c r="P83">
        <v>81</v>
      </c>
    </row>
    <row r="84" spans="15:16">
      <c r="O84" s="11">
        <v>45786</v>
      </c>
      <c r="P84">
        <v>82</v>
      </c>
    </row>
    <row r="85" spans="15:16">
      <c r="O85" s="11">
        <v>45789</v>
      </c>
      <c r="P85">
        <v>83</v>
      </c>
    </row>
    <row r="86" spans="15:16">
      <c r="O86" s="11">
        <v>45790</v>
      </c>
      <c r="P86">
        <v>84</v>
      </c>
    </row>
    <row r="87" spans="15:16">
      <c r="O87" s="11">
        <v>45791</v>
      </c>
      <c r="P87">
        <v>85</v>
      </c>
    </row>
    <row r="88" spans="15:16">
      <c r="O88" s="11">
        <v>45792</v>
      </c>
      <c r="P88">
        <v>86</v>
      </c>
    </row>
    <row r="89" spans="15:16">
      <c r="O89" s="11">
        <v>45793</v>
      </c>
      <c r="P89">
        <v>87</v>
      </c>
    </row>
    <row r="90" spans="15:16">
      <c r="O90" s="11">
        <v>45796</v>
      </c>
      <c r="P90">
        <v>88</v>
      </c>
    </row>
    <row r="91" spans="15:16">
      <c r="O91" s="11">
        <v>45797</v>
      </c>
      <c r="P91">
        <v>89</v>
      </c>
    </row>
    <row r="92" spans="15:16">
      <c r="O92" s="11">
        <v>45798</v>
      </c>
      <c r="P92">
        <v>90</v>
      </c>
    </row>
    <row r="93" spans="15:16">
      <c r="O93" s="11">
        <v>45799</v>
      </c>
      <c r="P93">
        <v>91</v>
      </c>
    </row>
    <row r="94" spans="15:16">
      <c r="O94" s="11">
        <v>45800</v>
      </c>
      <c r="P94">
        <v>92</v>
      </c>
    </row>
    <row r="95" spans="15:16">
      <c r="O95" s="11">
        <v>45803</v>
      </c>
      <c r="P95">
        <v>93</v>
      </c>
    </row>
    <row r="96" spans="15:16">
      <c r="O96" s="11">
        <v>45804</v>
      </c>
      <c r="P96">
        <v>94</v>
      </c>
    </row>
    <row r="97" spans="15:16">
      <c r="O97" s="11">
        <v>45805</v>
      </c>
      <c r="P97">
        <v>95</v>
      </c>
    </row>
    <row r="98" spans="15:16">
      <c r="O98" s="11">
        <v>45806</v>
      </c>
      <c r="P98">
        <v>96</v>
      </c>
    </row>
    <row r="99" spans="15:16">
      <c r="O99" s="11">
        <v>45807</v>
      </c>
      <c r="P99">
        <v>97</v>
      </c>
    </row>
    <row r="100" spans="15:16">
      <c r="O100" s="11">
        <v>45811</v>
      </c>
      <c r="P100">
        <v>98</v>
      </c>
    </row>
    <row r="101" spans="15:16">
      <c r="O101" s="11">
        <v>45812</v>
      </c>
      <c r="P101">
        <v>99</v>
      </c>
    </row>
    <row r="102" spans="15:16">
      <c r="O102" s="11">
        <v>45813</v>
      </c>
      <c r="P102">
        <v>100</v>
      </c>
    </row>
    <row r="103" spans="15:16">
      <c r="O103" s="11">
        <v>45814</v>
      </c>
      <c r="P103">
        <v>101</v>
      </c>
    </row>
    <row r="104" spans="15:16">
      <c r="O104" s="11">
        <v>45817</v>
      </c>
      <c r="P104">
        <v>102</v>
      </c>
    </row>
    <row r="105" spans="15:16">
      <c r="O105" s="11">
        <v>45818</v>
      </c>
      <c r="P105">
        <v>103</v>
      </c>
    </row>
    <row r="106" spans="15:16">
      <c r="O106" s="11">
        <v>45819</v>
      </c>
      <c r="P106">
        <v>104</v>
      </c>
    </row>
    <row r="107" spans="15:16">
      <c r="O107" s="11">
        <v>45820</v>
      </c>
      <c r="P107">
        <v>105</v>
      </c>
    </row>
    <row r="108" spans="15:16">
      <c r="O108" s="11">
        <v>45821</v>
      </c>
      <c r="P108">
        <v>106</v>
      </c>
    </row>
    <row r="109" spans="15:16">
      <c r="O109" s="11">
        <v>45824</v>
      </c>
      <c r="P109">
        <v>107</v>
      </c>
    </row>
    <row r="110" spans="15:16">
      <c r="O110" s="11">
        <v>45825</v>
      </c>
      <c r="P110">
        <v>108</v>
      </c>
    </row>
    <row r="111" spans="15:16">
      <c r="O111" s="11">
        <v>45826</v>
      </c>
      <c r="P111">
        <v>109</v>
      </c>
    </row>
    <row r="112" spans="15:16">
      <c r="O112" s="11">
        <v>45827</v>
      </c>
      <c r="P112">
        <v>110</v>
      </c>
    </row>
    <row r="113" spans="15:16">
      <c r="O113" s="11">
        <v>45828</v>
      </c>
      <c r="P113">
        <v>111</v>
      </c>
    </row>
    <row r="114" spans="15:16">
      <c r="O114" s="11">
        <v>45831</v>
      </c>
      <c r="P114">
        <v>112</v>
      </c>
    </row>
    <row r="115" spans="15:16">
      <c r="O115" s="11">
        <v>45832</v>
      </c>
      <c r="P115">
        <v>113</v>
      </c>
    </row>
    <row r="116" spans="15:16">
      <c r="O116" s="11">
        <v>45833</v>
      </c>
      <c r="P116">
        <v>114</v>
      </c>
    </row>
    <row r="117" spans="15:16">
      <c r="O117" s="11">
        <v>45834</v>
      </c>
      <c r="P117">
        <v>115</v>
      </c>
    </row>
    <row r="118" spans="15:16">
      <c r="O118" s="11">
        <v>45835</v>
      </c>
      <c r="P118">
        <v>116</v>
      </c>
    </row>
    <row r="119" spans="15:16">
      <c r="O119" s="11">
        <v>45838</v>
      </c>
      <c r="P119">
        <v>117</v>
      </c>
    </row>
    <row r="120" spans="15:16">
      <c r="O120" s="11">
        <v>45839</v>
      </c>
      <c r="P120">
        <v>118</v>
      </c>
    </row>
    <row r="121" spans="15:16">
      <c r="O121" s="11">
        <v>45840</v>
      </c>
      <c r="P121">
        <v>119</v>
      </c>
    </row>
    <row r="122" spans="15:16">
      <c r="O122" s="11">
        <v>45841</v>
      </c>
      <c r="P122">
        <v>120</v>
      </c>
    </row>
    <row r="123" spans="15:16">
      <c r="O123" s="11">
        <v>45842</v>
      </c>
      <c r="P123">
        <v>121</v>
      </c>
    </row>
    <row r="124" spans="15:16">
      <c r="O124" s="11">
        <v>45845</v>
      </c>
      <c r="P124">
        <v>122</v>
      </c>
    </row>
    <row r="125" spans="15:16">
      <c r="O125" s="11">
        <v>45846</v>
      </c>
      <c r="P125">
        <v>123</v>
      </c>
    </row>
    <row r="126" spans="15:16">
      <c r="O126" s="11">
        <v>45847</v>
      </c>
      <c r="P126">
        <v>124</v>
      </c>
    </row>
    <row r="127" spans="15:16">
      <c r="O127" s="11">
        <v>45848</v>
      </c>
      <c r="P127">
        <v>125</v>
      </c>
    </row>
    <row r="128" spans="15:16">
      <c r="O128" s="11">
        <v>45849</v>
      </c>
      <c r="P128">
        <v>126</v>
      </c>
    </row>
    <row r="129" spans="15:16">
      <c r="O129" s="11">
        <v>45852</v>
      </c>
      <c r="P129">
        <v>127</v>
      </c>
    </row>
    <row r="130" spans="15:16">
      <c r="O130" s="11">
        <v>45853</v>
      </c>
      <c r="P130">
        <v>128</v>
      </c>
    </row>
    <row r="131" spans="15:16">
      <c r="O131" s="11">
        <v>45854</v>
      </c>
      <c r="P131">
        <v>129</v>
      </c>
    </row>
    <row r="132" spans="15:16">
      <c r="O132" s="11">
        <v>45855</v>
      </c>
      <c r="P132">
        <v>130</v>
      </c>
    </row>
    <row r="133" spans="15:16">
      <c r="O133" s="11">
        <v>45856</v>
      </c>
      <c r="P133">
        <v>131</v>
      </c>
    </row>
    <row r="134" spans="15:16">
      <c r="O134" s="11">
        <v>45859</v>
      </c>
      <c r="P134">
        <v>132</v>
      </c>
    </row>
    <row r="135" spans="15:16">
      <c r="O135" s="11">
        <v>45860</v>
      </c>
      <c r="P135">
        <v>133</v>
      </c>
    </row>
    <row r="136" spans="15:16">
      <c r="O136" s="11">
        <v>45861</v>
      </c>
      <c r="P136">
        <v>134</v>
      </c>
    </row>
    <row r="137" spans="15:16">
      <c r="O137" s="11">
        <v>45862</v>
      </c>
      <c r="P137">
        <v>135</v>
      </c>
    </row>
    <row r="138" spans="15:16">
      <c r="O138" s="11">
        <v>45863</v>
      </c>
      <c r="P138">
        <v>136</v>
      </c>
    </row>
    <row r="139" spans="15:16">
      <c r="O139" s="11">
        <v>45866</v>
      </c>
      <c r="P139">
        <v>137</v>
      </c>
    </row>
    <row r="140" spans="15:16">
      <c r="O140" s="11">
        <v>45867</v>
      </c>
      <c r="P140">
        <v>138</v>
      </c>
    </row>
    <row r="141" spans="15:16">
      <c r="O141" s="11">
        <v>45868</v>
      </c>
      <c r="P141">
        <v>139</v>
      </c>
    </row>
    <row r="142" spans="15:16">
      <c r="O142" s="11">
        <v>45869</v>
      </c>
      <c r="P142">
        <v>140</v>
      </c>
    </row>
    <row r="143" spans="15:16">
      <c r="O143" s="11">
        <v>45870</v>
      </c>
      <c r="P143">
        <v>141</v>
      </c>
    </row>
    <row r="144" spans="15:16">
      <c r="O144" s="11">
        <v>45873</v>
      </c>
      <c r="P144">
        <v>142</v>
      </c>
    </row>
    <row r="145" spans="15:16">
      <c r="O145" s="11">
        <v>45874</v>
      </c>
      <c r="P145">
        <v>143</v>
      </c>
    </row>
    <row r="146" spans="15:16">
      <c r="O146" s="11">
        <v>45875</v>
      </c>
      <c r="P146">
        <v>144</v>
      </c>
    </row>
    <row r="147" spans="15:16">
      <c r="O147" s="11">
        <v>45876</v>
      </c>
      <c r="P147">
        <v>145</v>
      </c>
    </row>
    <row r="148" spans="15:16">
      <c r="O148" s="11">
        <v>45877</v>
      </c>
      <c r="P148">
        <v>146</v>
      </c>
    </row>
    <row r="149" spans="15:16">
      <c r="O149" s="11">
        <v>45880</v>
      </c>
      <c r="P149">
        <v>147</v>
      </c>
    </row>
    <row r="150" spans="15:16">
      <c r="O150" s="11">
        <v>45881</v>
      </c>
      <c r="P150">
        <v>148</v>
      </c>
    </row>
    <row r="151" spans="15:16">
      <c r="O151" s="11">
        <v>45882</v>
      </c>
      <c r="P151">
        <v>149</v>
      </c>
    </row>
    <row r="152" spans="15:16">
      <c r="O152" s="11">
        <v>45883</v>
      </c>
      <c r="P152">
        <v>150</v>
      </c>
    </row>
    <row r="153" spans="15:16">
      <c r="O153" s="11">
        <v>45884</v>
      </c>
      <c r="P153">
        <v>151</v>
      </c>
    </row>
    <row r="154" spans="15:16">
      <c r="O154" s="11">
        <v>45887</v>
      </c>
      <c r="P154">
        <v>152</v>
      </c>
    </row>
    <row r="155" spans="15:16">
      <c r="O155" s="11">
        <v>45888</v>
      </c>
      <c r="P155">
        <v>153</v>
      </c>
    </row>
    <row r="156" spans="15:16">
      <c r="O156" s="11">
        <v>45889</v>
      </c>
      <c r="P156">
        <v>154</v>
      </c>
    </row>
    <row r="157" spans="15:16">
      <c r="O157" s="11">
        <v>45890</v>
      </c>
      <c r="P157">
        <v>155</v>
      </c>
    </row>
    <row r="158" spans="15:16">
      <c r="O158" s="11">
        <v>45891</v>
      </c>
      <c r="P158">
        <v>156</v>
      </c>
    </row>
    <row r="159" spans="15:16">
      <c r="O159" s="11">
        <v>45894</v>
      </c>
      <c r="P159">
        <v>157</v>
      </c>
    </row>
    <row r="160" spans="15:16">
      <c r="O160" s="11">
        <v>45895</v>
      </c>
      <c r="P160">
        <v>158</v>
      </c>
    </row>
    <row r="161" spans="15:16">
      <c r="O161" s="11">
        <v>45896</v>
      </c>
      <c r="P161">
        <v>159</v>
      </c>
    </row>
    <row r="162" spans="15:16">
      <c r="O162" s="11">
        <v>45897</v>
      </c>
      <c r="P162">
        <v>160</v>
      </c>
    </row>
    <row r="163" spans="15:16">
      <c r="O163" s="11">
        <v>45898</v>
      </c>
      <c r="P163">
        <v>161</v>
      </c>
    </row>
    <row r="164" spans="15:16">
      <c r="O164" s="11">
        <v>45901</v>
      </c>
      <c r="P164">
        <v>162</v>
      </c>
    </row>
    <row r="165" spans="15:16">
      <c r="O165" s="11">
        <v>45902</v>
      </c>
      <c r="P165">
        <v>163</v>
      </c>
    </row>
    <row r="166" spans="15:16">
      <c r="O166" s="11">
        <v>45903</v>
      </c>
      <c r="P166">
        <v>164</v>
      </c>
    </row>
    <row r="167" spans="15:16">
      <c r="O167" s="11">
        <v>45904</v>
      </c>
      <c r="P167">
        <v>165</v>
      </c>
    </row>
    <row r="168" spans="15:16">
      <c r="O168" s="11">
        <v>45905</v>
      </c>
      <c r="P168">
        <v>166</v>
      </c>
    </row>
    <row r="169" spans="15:16">
      <c r="O169" s="11">
        <v>45908</v>
      </c>
      <c r="P169">
        <v>167</v>
      </c>
    </row>
    <row r="170" spans="15:16">
      <c r="O170" s="11">
        <v>45909</v>
      </c>
      <c r="P170">
        <v>168</v>
      </c>
    </row>
    <row r="171" spans="15:16">
      <c r="O171" s="11">
        <v>45910</v>
      </c>
      <c r="P171">
        <v>169</v>
      </c>
    </row>
    <row r="172" spans="15:16">
      <c r="O172" s="11">
        <v>45911</v>
      </c>
      <c r="P172">
        <v>170</v>
      </c>
    </row>
    <row r="173" spans="15:16">
      <c r="O173" s="11">
        <v>45912</v>
      </c>
      <c r="P173">
        <v>171</v>
      </c>
    </row>
    <row r="174" spans="15:16">
      <c r="O174" s="11">
        <v>45915</v>
      </c>
      <c r="P174">
        <v>172</v>
      </c>
    </row>
    <row r="175" spans="15:16">
      <c r="O175" s="11">
        <v>45916</v>
      </c>
      <c r="P175">
        <v>173</v>
      </c>
    </row>
    <row r="176" spans="15:16">
      <c r="O176" s="11">
        <v>45917</v>
      </c>
      <c r="P176">
        <v>174</v>
      </c>
    </row>
    <row r="177" spans="15:16">
      <c r="O177" s="11">
        <v>45918</v>
      </c>
      <c r="P177">
        <v>175</v>
      </c>
    </row>
    <row r="178" spans="15:16">
      <c r="O178" s="11">
        <v>45919</v>
      </c>
      <c r="P178">
        <v>176</v>
      </c>
    </row>
    <row r="179" spans="15:16">
      <c r="O179" s="11">
        <v>45922</v>
      </c>
      <c r="P179">
        <v>177</v>
      </c>
    </row>
    <row r="180" spans="15:16">
      <c r="O180" s="11">
        <v>45923</v>
      </c>
      <c r="P180">
        <v>178</v>
      </c>
    </row>
    <row r="181" spans="15:16">
      <c r="O181" s="11">
        <v>45924</v>
      </c>
      <c r="P181">
        <v>179</v>
      </c>
    </row>
    <row r="182" spans="15:16">
      <c r="O182" s="11">
        <v>45925</v>
      </c>
      <c r="P182">
        <v>180</v>
      </c>
    </row>
    <row r="183" spans="15:16">
      <c r="O183" s="11">
        <v>45926</v>
      </c>
      <c r="P183">
        <v>181</v>
      </c>
    </row>
    <row r="184" spans="15:16">
      <c r="O184" s="11">
        <v>45929</v>
      </c>
      <c r="P184">
        <v>182</v>
      </c>
    </row>
    <row r="185" spans="15:16">
      <c r="O185" s="11">
        <v>45930</v>
      </c>
      <c r="P185">
        <v>183</v>
      </c>
    </row>
    <row r="186" spans="15:16">
      <c r="O186" s="11">
        <v>45939</v>
      </c>
      <c r="P186">
        <v>184</v>
      </c>
    </row>
    <row r="187" spans="15:16">
      <c r="O187" s="11">
        <v>45940</v>
      </c>
      <c r="P187">
        <v>185</v>
      </c>
    </row>
    <row r="188" spans="15:16">
      <c r="O188" s="11">
        <v>45943</v>
      </c>
      <c r="P188">
        <v>186</v>
      </c>
    </row>
    <row r="189" spans="15:16">
      <c r="O189" s="11">
        <v>45944</v>
      </c>
      <c r="P189">
        <v>187</v>
      </c>
    </row>
    <row r="190" spans="15:16">
      <c r="O190" s="11">
        <v>45945</v>
      </c>
      <c r="P190">
        <v>188</v>
      </c>
    </row>
    <row r="191" spans="15:16">
      <c r="O191" s="11">
        <v>45946</v>
      </c>
      <c r="P191">
        <v>189</v>
      </c>
    </row>
    <row r="192" spans="15:16">
      <c r="O192" s="11">
        <v>45947</v>
      </c>
      <c r="P192">
        <v>190</v>
      </c>
    </row>
    <row r="193" spans="15:16">
      <c r="O193" s="11">
        <v>45950</v>
      </c>
      <c r="P193">
        <v>191</v>
      </c>
    </row>
    <row r="194" spans="15:16">
      <c r="O194" s="11">
        <v>45951</v>
      </c>
      <c r="P194">
        <v>192</v>
      </c>
    </row>
    <row r="195" spans="15:16">
      <c r="O195" s="11">
        <v>45952</v>
      </c>
      <c r="P195">
        <v>193</v>
      </c>
    </row>
    <row r="196" spans="15:16">
      <c r="O196" s="11">
        <v>45953</v>
      </c>
      <c r="P196">
        <v>194</v>
      </c>
    </row>
    <row r="197" spans="15:16">
      <c r="O197" s="11">
        <v>45954</v>
      </c>
      <c r="P197">
        <v>195</v>
      </c>
    </row>
    <row r="198" spans="15:16">
      <c r="O198" s="11">
        <v>45957</v>
      </c>
      <c r="P198">
        <v>196</v>
      </c>
    </row>
    <row r="199" spans="15:16">
      <c r="O199" s="11">
        <v>45958</v>
      </c>
      <c r="P199">
        <v>197</v>
      </c>
    </row>
    <row r="200" spans="15:16">
      <c r="O200" s="11">
        <v>45959</v>
      </c>
      <c r="P200">
        <v>198</v>
      </c>
    </row>
    <row r="201" spans="15:16">
      <c r="O201" s="11">
        <v>45960</v>
      </c>
      <c r="P201">
        <v>199</v>
      </c>
    </row>
    <row r="202" spans="15:16">
      <c r="O202" s="11">
        <v>45961</v>
      </c>
      <c r="P202">
        <v>200</v>
      </c>
    </row>
    <row r="203" spans="15:16">
      <c r="O203" s="11">
        <v>45964</v>
      </c>
      <c r="P203">
        <v>201</v>
      </c>
    </row>
    <row r="204" spans="15:16">
      <c r="O204" s="11">
        <v>45965</v>
      </c>
      <c r="P204">
        <v>202</v>
      </c>
    </row>
    <row r="205" spans="15:16">
      <c r="O205" s="11">
        <v>45966</v>
      </c>
      <c r="P205">
        <v>203</v>
      </c>
    </row>
    <row r="206" spans="15:16">
      <c r="O206" s="11">
        <v>45967</v>
      </c>
      <c r="P206">
        <v>204</v>
      </c>
    </row>
    <row r="207" spans="15:16">
      <c r="O207" s="11">
        <v>45968</v>
      </c>
      <c r="P207">
        <v>205</v>
      </c>
    </row>
    <row r="208" spans="15:16">
      <c r="O208" s="11">
        <v>45971</v>
      </c>
      <c r="P208">
        <v>206</v>
      </c>
    </row>
    <row r="209" spans="15:16">
      <c r="O209" s="11">
        <v>45972</v>
      </c>
      <c r="P209">
        <v>207</v>
      </c>
    </row>
    <row r="210" spans="15:16">
      <c r="O210" s="11">
        <v>45973</v>
      </c>
      <c r="P210">
        <v>208</v>
      </c>
    </row>
    <row r="211" spans="15:16">
      <c r="O211" s="11">
        <v>45974</v>
      </c>
      <c r="P211">
        <v>209</v>
      </c>
    </row>
    <row r="212" spans="15:16">
      <c r="O212" s="11">
        <v>45975</v>
      </c>
      <c r="P212">
        <v>210</v>
      </c>
    </row>
    <row r="213" spans="15:16">
      <c r="O213" s="11">
        <v>45978</v>
      </c>
      <c r="P213">
        <v>211</v>
      </c>
    </row>
    <row r="214" spans="15:16">
      <c r="O214" s="11">
        <v>45979</v>
      </c>
      <c r="P214">
        <v>212</v>
      </c>
    </row>
    <row r="215" spans="15:16">
      <c r="O215" s="11">
        <v>45980</v>
      </c>
      <c r="P215">
        <v>213</v>
      </c>
    </row>
    <row r="216" spans="15:16">
      <c r="O216" s="11">
        <v>45981</v>
      </c>
      <c r="P216">
        <v>214</v>
      </c>
    </row>
    <row r="217" spans="15:16">
      <c r="O217" s="11">
        <v>45982</v>
      </c>
      <c r="P217">
        <v>215</v>
      </c>
    </row>
    <row r="218" spans="15:16">
      <c r="O218" s="11">
        <v>45985</v>
      </c>
      <c r="P218">
        <v>216</v>
      </c>
    </row>
    <row r="219" spans="15:16">
      <c r="O219" s="11">
        <v>45986</v>
      </c>
      <c r="P219">
        <v>217</v>
      </c>
    </row>
    <row r="220" spans="15:16">
      <c r="O220" s="11">
        <v>45987</v>
      </c>
      <c r="P220">
        <v>218</v>
      </c>
    </row>
    <row r="221" spans="15:16">
      <c r="O221" s="11">
        <v>45988</v>
      </c>
      <c r="P221">
        <v>219</v>
      </c>
    </row>
    <row r="222" spans="15:16">
      <c r="O222" s="11">
        <v>45989</v>
      </c>
      <c r="P222">
        <v>220</v>
      </c>
    </row>
    <row r="223" spans="15:16">
      <c r="O223" s="11">
        <v>45992</v>
      </c>
      <c r="P223">
        <v>221</v>
      </c>
    </row>
    <row r="224" spans="15:16">
      <c r="O224" s="11">
        <v>45993</v>
      </c>
      <c r="P224">
        <v>222</v>
      </c>
    </row>
    <row r="225" spans="15:16">
      <c r="O225" s="11">
        <v>45994</v>
      </c>
      <c r="P225">
        <v>223</v>
      </c>
    </row>
    <row r="226" spans="15:16">
      <c r="O226" s="11">
        <v>45995</v>
      </c>
      <c r="P226">
        <v>224</v>
      </c>
    </row>
    <row r="227" spans="15:16">
      <c r="O227" s="11">
        <v>45996</v>
      </c>
      <c r="P227">
        <v>225</v>
      </c>
    </row>
    <row r="228" spans="15:16">
      <c r="O228" s="11">
        <v>45999</v>
      </c>
      <c r="P228">
        <v>226</v>
      </c>
    </row>
    <row r="229" spans="15:16">
      <c r="O229" s="11">
        <v>46000</v>
      </c>
      <c r="P229">
        <v>227</v>
      </c>
    </row>
    <row r="230" spans="15:16">
      <c r="O230" s="11">
        <v>46001</v>
      </c>
      <c r="P230">
        <v>228</v>
      </c>
    </row>
    <row r="231" spans="15:16">
      <c r="O231" s="11">
        <v>46002</v>
      </c>
      <c r="P231">
        <v>229</v>
      </c>
    </row>
    <row r="232" spans="15:16">
      <c r="O232" s="11">
        <v>46003</v>
      </c>
      <c r="P232">
        <v>230</v>
      </c>
    </row>
    <row r="233" spans="15:16">
      <c r="O233" s="11">
        <v>46006</v>
      </c>
      <c r="P233">
        <v>231</v>
      </c>
    </row>
    <row r="234" spans="15:16">
      <c r="O234" s="11">
        <v>46007</v>
      </c>
      <c r="P234">
        <v>232</v>
      </c>
    </row>
    <row r="235" spans="15:16">
      <c r="O235" s="11">
        <v>46008</v>
      </c>
      <c r="P235">
        <v>233</v>
      </c>
    </row>
    <row r="236" spans="15:16">
      <c r="O236" s="11">
        <v>46009</v>
      </c>
      <c r="P236">
        <v>234</v>
      </c>
    </row>
    <row r="237" spans="15:16">
      <c r="O237" s="11">
        <v>46010</v>
      </c>
      <c r="P237">
        <v>235</v>
      </c>
    </row>
    <row r="238" spans="15:16">
      <c r="O238" s="11">
        <v>46013</v>
      </c>
      <c r="P238">
        <v>236</v>
      </c>
    </row>
    <row r="239" spans="15:16">
      <c r="O239" s="11">
        <v>46014</v>
      </c>
      <c r="P239">
        <v>237</v>
      </c>
    </row>
    <row r="240" spans="15:16">
      <c r="O240" s="11">
        <v>46015</v>
      </c>
      <c r="P240">
        <v>238</v>
      </c>
    </row>
    <row r="241" spans="15:16">
      <c r="O241" s="11">
        <v>46016</v>
      </c>
      <c r="P241">
        <v>239</v>
      </c>
    </row>
    <row r="242" spans="15:16">
      <c r="O242" s="11">
        <v>46017</v>
      </c>
      <c r="P242">
        <v>240</v>
      </c>
    </row>
    <row r="243" spans="15:16">
      <c r="O243" s="11">
        <v>46020</v>
      </c>
      <c r="P243">
        <v>241</v>
      </c>
    </row>
    <row r="244" spans="15:16">
      <c r="O244" s="11">
        <v>46021</v>
      </c>
      <c r="P244">
        <v>242</v>
      </c>
    </row>
    <row r="245" spans="15:16">
      <c r="O245" s="11">
        <v>46022</v>
      </c>
      <c r="P245">
        <v>243</v>
      </c>
    </row>
    <row r="246" spans="15:16">
      <c r="O246" s="11">
        <v>46027</v>
      </c>
      <c r="P246">
        <v>244</v>
      </c>
    </row>
    <row r="247" spans="15:16">
      <c r="O247" s="11">
        <v>46028</v>
      </c>
      <c r="P247">
        <v>245</v>
      </c>
    </row>
    <row r="248" spans="15:16">
      <c r="O248" s="11">
        <v>46029</v>
      </c>
      <c r="P248">
        <v>246</v>
      </c>
    </row>
    <row r="249" spans="15:16">
      <c r="O249" s="11">
        <v>46030</v>
      </c>
      <c r="P249">
        <v>247</v>
      </c>
    </row>
    <row r="250" spans="15:16">
      <c r="O250" s="11">
        <v>46031</v>
      </c>
      <c r="P250">
        <v>248</v>
      </c>
    </row>
    <row r="251" spans="15:16">
      <c r="O251" s="11">
        <v>46034</v>
      </c>
      <c r="P251">
        <v>249</v>
      </c>
    </row>
    <row r="252" spans="15:16">
      <c r="O252" s="11">
        <v>46035</v>
      </c>
      <c r="P252">
        <v>250</v>
      </c>
    </row>
    <row r="253" spans="15:16">
      <c r="O253" s="11">
        <v>46036</v>
      </c>
      <c r="P253">
        <v>251</v>
      </c>
    </row>
    <row r="254" spans="15:16">
      <c r="O254" s="11">
        <v>46037</v>
      </c>
      <c r="P254">
        <v>252</v>
      </c>
    </row>
    <row r="255" spans="15:16">
      <c r="O255" s="11">
        <v>46038</v>
      </c>
      <c r="P255">
        <v>253</v>
      </c>
    </row>
    <row r="256" spans="15:16">
      <c r="O256" s="11">
        <v>46041</v>
      </c>
      <c r="P256">
        <v>254</v>
      </c>
    </row>
    <row r="257" spans="15:16">
      <c r="O257" s="11">
        <v>46042</v>
      </c>
      <c r="P257">
        <v>255</v>
      </c>
    </row>
    <row r="258" spans="15:16">
      <c r="O258" s="11">
        <v>46043</v>
      </c>
      <c r="P258">
        <v>256</v>
      </c>
    </row>
    <row r="259" spans="15:16">
      <c r="O259" s="11">
        <v>46044</v>
      </c>
      <c r="P259">
        <v>257</v>
      </c>
    </row>
    <row r="260" spans="15:16">
      <c r="O260" s="11">
        <v>46045</v>
      </c>
      <c r="P260">
        <v>258</v>
      </c>
    </row>
    <row r="261" spans="15:16">
      <c r="O261" s="11">
        <v>46048</v>
      </c>
      <c r="P261">
        <v>259</v>
      </c>
    </row>
    <row r="262" spans="15:16">
      <c r="O262" s="11">
        <v>46049</v>
      </c>
      <c r="P262">
        <v>260</v>
      </c>
    </row>
    <row r="263" spans="15:16">
      <c r="O263" s="11">
        <v>46050</v>
      </c>
      <c r="P263">
        <v>261</v>
      </c>
    </row>
    <row r="264" spans="15:16">
      <c r="O264" s="11">
        <v>46051</v>
      </c>
      <c r="P264">
        <v>262</v>
      </c>
    </row>
    <row r="265" spans="15:16">
      <c r="O265" s="11">
        <v>46052</v>
      </c>
      <c r="P265">
        <v>263</v>
      </c>
    </row>
    <row r="266" spans="15:16">
      <c r="O266" s="11">
        <v>46055</v>
      </c>
      <c r="P266">
        <v>264</v>
      </c>
    </row>
    <row r="267" spans="15:16">
      <c r="O267" s="11">
        <v>46056</v>
      </c>
      <c r="P267">
        <v>265</v>
      </c>
    </row>
    <row r="268" spans="15:16">
      <c r="O268" s="11">
        <v>46057</v>
      </c>
      <c r="P268">
        <v>266</v>
      </c>
    </row>
    <row r="269" spans="15:16">
      <c r="O269" s="11">
        <v>46058</v>
      </c>
      <c r="P269">
        <v>267</v>
      </c>
    </row>
    <row r="270" spans="15:16">
      <c r="O270" s="11">
        <v>46059</v>
      </c>
      <c r="P270">
        <v>268</v>
      </c>
    </row>
    <row r="271" spans="15:16">
      <c r="O271" s="11">
        <v>46062</v>
      </c>
      <c r="P271">
        <v>269</v>
      </c>
    </row>
    <row r="272" spans="15:16">
      <c r="O272" s="11">
        <v>46063</v>
      </c>
      <c r="P272">
        <v>270</v>
      </c>
    </row>
    <row r="273" spans="15:16">
      <c r="O273" s="11">
        <v>46064</v>
      </c>
      <c r="P273">
        <v>271</v>
      </c>
    </row>
    <row r="274" spans="15:16">
      <c r="O274" s="11">
        <v>46065</v>
      </c>
      <c r="P274">
        <v>272</v>
      </c>
    </row>
    <row r="275" spans="15:16">
      <c r="O275" s="11">
        <v>46066</v>
      </c>
      <c r="P275">
        <v>273</v>
      </c>
    </row>
    <row r="276" spans="15:16">
      <c r="O276" s="11">
        <v>46077</v>
      </c>
      <c r="P276">
        <v>274</v>
      </c>
    </row>
    <row r="277" spans="15:16">
      <c r="O277" s="11">
        <v>46078</v>
      </c>
      <c r="P277">
        <v>275</v>
      </c>
    </row>
    <row r="278" spans="15:16">
      <c r="O278" s="11">
        <v>46079</v>
      </c>
      <c r="P278">
        <v>276</v>
      </c>
    </row>
    <row r="279" spans="15:16">
      <c r="O279" s="11">
        <v>46080</v>
      </c>
      <c r="P279">
        <v>277</v>
      </c>
    </row>
    <row r="280" spans="15:16">
      <c r="O280" s="11">
        <v>46083</v>
      </c>
      <c r="P280">
        <v>278</v>
      </c>
    </row>
    <row r="281" spans="15:16">
      <c r="O281" s="11">
        <v>46084</v>
      </c>
      <c r="P281">
        <v>279</v>
      </c>
    </row>
    <row r="282" spans="15:16">
      <c r="O282" s="11">
        <v>46085</v>
      </c>
      <c r="P282">
        <v>280</v>
      </c>
    </row>
    <row r="283" spans="15:16">
      <c r="O283" s="11">
        <v>46086</v>
      </c>
      <c r="P283">
        <v>281</v>
      </c>
    </row>
    <row r="284" spans="15:16">
      <c r="O284" s="11">
        <v>46087</v>
      </c>
      <c r="P284">
        <v>282</v>
      </c>
    </row>
    <row r="285" spans="15:16">
      <c r="O285" s="11">
        <v>46090</v>
      </c>
      <c r="P285">
        <v>283</v>
      </c>
    </row>
    <row r="286" spans="15:16">
      <c r="O286" s="11">
        <v>46091</v>
      </c>
      <c r="P286">
        <v>284</v>
      </c>
    </row>
    <row r="287" spans="15:16">
      <c r="O287" s="11">
        <v>46092</v>
      </c>
      <c r="P287">
        <v>285</v>
      </c>
    </row>
    <row r="288" spans="15:16">
      <c r="O288" s="11">
        <v>46093</v>
      </c>
      <c r="P288">
        <v>286</v>
      </c>
    </row>
    <row r="289" spans="15:16">
      <c r="O289" s="11">
        <v>46094</v>
      </c>
      <c r="P289">
        <v>287</v>
      </c>
    </row>
    <row r="290" spans="15:16">
      <c r="O290" s="11">
        <v>46097</v>
      </c>
      <c r="P290">
        <v>288</v>
      </c>
    </row>
    <row r="291" spans="15:16">
      <c r="O291" s="11">
        <v>46098</v>
      </c>
      <c r="P291">
        <v>289</v>
      </c>
    </row>
    <row r="292" spans="15:16">
      <c r="O292" s="11">
        <v>46099</v>
      </c>
      <c r="P292">
        <v>290</v>
      </c>
    </row>
    <row r="293" spans="15:16">
      <c r="O293" s="11">
        <v>46100</v>
      </c>
      <c r="P293">
        <v>291</v>
      </c>
    </row>
    <row r="294" spans="15:16">
      <c r="O294" s="11">
        <v>46101</v>
      </c>
      <c r="P294">
        <v>292</v>
      </c>
    </row>
    <row r="295" spans="15:16">
      <c r="O295" s="11">
        <v>46104</v>
      </c>
      <c r="P295">
        <v>293</v>
      </c>
    </row>
    <row r="296" spans="15:16">
      <c r="O296" s="11">
        <v>46105</v>
      </c>
      <c r="P296">
        <v>294</v>
      </c>
    </row>
    <row r="297" spans="15:16">
      <c r="O297" s="11">
        <v>46106</v>
      </c>
      <c r="P297">
        <v>295</v>
      </c>
    </row>
    <row r="298" spans="15:16">
      <c r="O298" s="11">
        <v>46107</v>
      </c>
      <c r="P298">
        <v>296</v>
      </c>
    </row>
    <row r="299" spans="15:16">
      <c r="O299" s="11">
        <v>46108</v>
      </c>
      <c r="P299">
        <v>297</v>
      </c>
    </row>
    <row r="300" spans="15:16">
      <c r="O300" s="11">
        <v>46111</v>
      </c>
      <c r="P300">
        <v>298</v>
      </c>
    </row>
    <row r="301" spans="15:16">
      <c r="O301" s="11">
        <v>46112</v>
      </c>
      <c r="P301">
        <v>299</v>
      </c>
    </row>
    <row r="302" spans="15:16">
      <c r="O302" s="11">
        <v>46113</v>
      </c>
      <c r="P302">
        <v>300</v>
      </c>
    </row>
    <row r="303" spans="15:16">
      <c r="O303" s="11">
        <v>46114</v>
      </c>
      <c r="P303">
        <v>301</v>
      </c>
    </row>
    <row r="304" spans="15:16">
      <c r="O304" s="11">
        <v>46115</v>
      </c>
      <c r="P304">
        <v>302</v>
      </c>
    </row>
    <row r="305" spans="15:16">
      <c r="O305" s="11">
        <v>46119</v>
      </c>
      <c r="P305">
        <v>303</v>
      </c>
    </row>
    <row r="306" spans="15:16">
      <c r="O306" s="11">
        <v>46120</v>
      </c>
      <c r="P306">
        <v>304</v>
      </c>
    </row>
    <row r="307" spans="15:16">
      <c r="O307" s="11">
        <v>46121</v>
      </c>
      <c r="P307">
        <v>305</v>
      </c>
    </row>
    <row r="308" spans="15:16">
      <c r="O308" s="11">
        <v>46122</v>
      </c>
      <c r="P308">
        <v>306</v>
      </c>
    </row>
    <row r="309" spans="15:16">
      <c r="O309" s="11">
        <v>46125</v>
      </c>
      <c r="P309">
        <v>307</v>
      </c>
    </row>
    <row r="310" spans="15:16">
      <c r="O310" s="11">
        <v>46126</v>
      </c>
      <c r="P310">
        <v>308</v>
      </c>
    </row>
    <row r="311" spans="15:16">
      <c r="O311" s="11">
        <v>46127</v>
      </c>
      <c r="P311">
        <v>309</v>
      </c>
    </row>
    <row r="312" spans="15:16">
      <c r="O312" s="11">
        <v>46128</v>
      </c>
      <c r="P312">
        <v>310</v>
      </c>
    </row>
    <row r="313" spans="15:16">
      <c r="O313" s="11">
        <v>46129</v>
      </c>
      <c r="P313">
        <v>311</v>
      </c>
    </row>
    <row r="314" spans="15:16">
      <c r="O314" s="11">
        <v>46132</v>
      </c>
      <c r="P314">
        <v>312</v>
      </c>
    </row>
    <row r="315" spans="15:16">
      <c r="O315" s="11">
        <v>46133</v>
      </c>
      <c r="P315">
        <v>313</v>
      </c>
    </row>
    <row r="316" spans="15:16">
      <c r="O316" s="11">
        <v>46134</v>
      </c>
      <c r="P316">
        <v>314</v>
      </c>
    </row>
    <row r="317" spans="15:16">
      <c r="O317" s="11">
        <v>46135</v>
      </c>
      <c r="P317">
        <v>315</v>
      </c>
    </row>
    <row r="318" spans="15:16">
      <c r="O318" s="11">
        <v>46136</v>
      </c>
      <c r="P318">
        <v>316</v>
      </c>
    </row>
    <row r="319" spans="15:16">
      <c r="O319" s="11">
        <v>46139</v>
      </c>
      <c r="P319">
        <v>317</v>
      </c>
    </row>
    <row r="320" spans="15:16">
      <c r="O320" s="11">
        <v>46140</v>
      </c>
      <c r="P320">
        <v>318</v>
      </c>
    </row>
    <row r="321" spans="15:16">
      <c r="O321" s="11">
        <v>46141</v>
      </c>
      <c r="P321">
        <v>319</v>
      </c>
    </row>
    <row r="322" spans="15:16">
      <c r="O322" s="11">
        <v>46142</v>
      </c>
      <c r="P322">
        <v>320</v>
      </c>
    </row>
    <row r="323" spans="15:16">
      <c r="O323" s="11">
        <v>46148</v>
      </c>
      <c r="P323">
        <v>321</v>
      </c>
    </row>
    <row r="324" spans="15:16">
      <c r="O324" s="11">
        <v>46149</v>
      </c>
      <c r="P324">
        <v>322</v>
      </c>
    </row>
    <row r="325" spans="15:16">
      <c r="O325" s="11">
        <v>46150</v>
      </c>
      <c r="P325">
        <v>323</v>
      </c>
    </row>
    <row r="326" spans="15:16">
      <c r="O326" s="11">
        <v>46153</v>
      </c>
      <c r="P326">
        <v>324</v>
      </c>
    </row>
    <row r="327" spans="15:16">
      <c r="O327" s="11">
        <v>46154</v>
      </c>
      <c r="P327">
        <v>325</v>
      </c>
    </row>
    <row r="328" spans="15:16">
      <c r="O328" s="11">
        <v>46155</v>
      </c>
      <c r="P328">
        <v>326</v>
      </c>
    </row>
    <row r="329" spans="15:16">
      <c r="O329" s="11">
        <v>46156</v>
      </c>
      <c r="P329">
        <v>327</v>
      </c>
    </row>
    <row r="330" spans="15:16">
      <c r="O330" s="11">
        <v>46157</v>
      </c>
      <c r="P330">
        <v>328</v>
      </c>
    </row>
    <row r="331" spans="15:16">
      <c r="O331" s="11">
        <v>46160</v>
      </c>
      <c r="P331">
        <v>329</v>
      </c>
    </row>
    <row r="332" spans="15:16">
      <c r="O332" s="11">
        <v>46161</v>
      </c>
      <c r="P332">
        <v>330</v>
      </c>
    </row>
    <row r="333" spans="15:16">
      <c r="O333" s="11">
        <v>46162</v>
      </c>
      <c r="P333">
        <v>331</v>
      </c>
    </row>
    <row r="334" spans="15:16">
      <c r="O334" s="11">
        <v>46163</v>
      </c>
      <c r="P334">
        <v>332</v>
      </c>
    </row>
    <row r="335" spans="15:16">
      <c r="O335" s="11">
        <v>46164</v>
      </c>
      <c r="P335">
        <v>333</v>
      </c>
    </row>
    <row r="336" spans="15:16">
      <c r="O336" s="11">
        <v>46167</v>
      </c>
      <c r="P336">
        <v>334</v>
      </c>
    </row>
    <row r="337" spans="15:16">
      <c r="O337" s="11">
        <v>46168</v>
      </c>
      <c r="P337">
        <v>335</v>
      </c>
    </row>
    <row r="338" spans="15:16">
      <c r="O338" s="11">
        <v>46169</v>
      </c>
      <c r="P338">
        <v>336</v>
      </c>
    </row>
    <row r="339" spans="15:16">
      <c r="O339" s="11">
        <v>46170</v>
      </c>
      <c r="P339">
        <v>337</v>
      </c>
    </row>
    <row r="340" spans="15:16">
      <c r="O340" s="11">
        <v>46171</v>
      </c>
      <c r="P340">
        <v>338</v>
      </c>
    </row>
    <row r="341" spans="15:16">
      <c r="O341" s="11">
        <v>46174</v>
      </c>
      <c r="P341">
        <v>339</v>
      </c>
    </row>
    <row r="342" spans="15:16">
      <c r="O342" s="11">
        <v>46175</v>
      </c>
      <c r="P342">
        <v>340</v>
      </c>
    </row>
    <row r="343" spans="15:16">
      <c r="O343" s="11">
        <v>46176</v>
      </c>
      <c r="P343">
        <v>341</v>
      </c>
    </row>
    <row r="344" spans="15:16">
      <c r="O344" s="11">
        <v>46177</v>
      </c>
      <c r="P344">
        <v>342</v>
      </c>
    </row>
    <row r="345" spans="15:16">
      <c r="O345" s="11">
        <v>46178</v>
      </c>
      <c r="P345">
        <v>343</v>
      </c>
    </row>
    <row r="346" spans="15:16">
      <c r="O346" s="11">
        <v>46181</v>
      </c>
      <c r="P346">
        <v>344</v>
      </c>
    </row>
    <row r="347" spans="15:16">
      <c r="O347" s="11">
        <v>46182</v>
      </c>
      <c r="P347">
        <v>345</v>
      </c>
    </row>
    <row r="348" spans="15:16">
      <c r="O348" s="11">
        <v>46183</v>
      </c>
      <c r="P348">
        <v>346</v>
      </c>
    </row>
    <row r="349" spans="15:16">
      <c r="O349" s="11">
        <v>46184</v>
      </c>
      <c r="P349">
        <v>347</v>
      </c>
    </row>
    <row r="350" spans="15:16">
      <c r="O350" s="11">
        <v>46185</v>
      </c>
      <c r="P350">
        <v>348</v>
      </c>
    </row>
    <row r="351" spans="15:16">
      <c r="O351" s="11">
        <v>46188</v>
      </c>
      <c r="P351">
        <v>349</v>
      </c>
    </row>
    <row r="352" spans="15:16">
      <c r="O352" s="11">
        <v>46189</v>
      </c>
      <c r="P352">
        <v>350</v>
      </c>
    </row>
    <row r="353" spans="15:16">
      <c r="O353" s="11">
        <v>46190</v>
      </c>
      <c r="P353">
        <v>351</v>
      </c>
    </row>
    <row r="354" spans="15:16">
      <c r="O354" s="11">
        <v>46191</v>
      </c>
      <c r="P354">
        <v>352</v>
      </c>
    </row>
    <row r="355" spans="15:16">
      <c r="O355" s="11">
        <v>46195</v>
      </c>
      <c r="P355">
        <v>353</v>
      </c>
    </row>
    <row r="356" spans="15:16">
      <c r="O356" s="11">
        <v>46196</v>
      </c>
      <c r="P356">
        <v>354</v>
      </c>
    </row>
    <row r="357" spans="15:16">
      <c r="O357" s="11">
        <v>46197</v>
      </c>
      <c r="P357">
        <v>355</v>
      </c>
    </row>
    <row r="358" spans="15:16">
      <c r="O358" s="11">
        <v>46198</v>
      </c>
      <c r="P358">
        <v>356</v>
      </c>
    </row>
    <row r="359" spans="15:16">
      <c r="O359" s="11">
        <v>46199</v>
      </c>
      <c r="P359">
        <v>357</v>
      </c>
    </row>
    <row r="360" spans="15:16">
      <c r="O360" s="11">
        <v>46202</v>
      </c>
      <c r="P360">
        <v>358</v>
      </c>
    </row>
    <row r="361" spans="15:16">
      <c r="O361" s="11">
        <v>46203</v>
      </c>
      <c r="P361">
        <v>359</v>
      </c>
    </row>
    <row r="362" spans="15:16">
      <c r="O362" s="11">
        <v>46204</v>
      </c>
      <c r="P362">
        <v>360</v>
      </c>
    </row>
    <row r="363" spans="15:16">
      <c r="O363" s="11">
        <v>46205</v>
      </c>
      <c r="P363">
        <v>361</v>
      </c>
    </row>
    <row r="364" spans="15:16">
      <c r="O364" s="11">
        <v>46206</v>
      </c>
      <c r="P364">
        <v>362</v>
      </c>
    </row>
    <row r="365" spans="15:16">
      <c r="O365" s="11">
        <v>46209</v>
      </c>
      <c r="P365">
        <v>363</v>
      </c>
    </row>
    <row r="366" spans="15:16">
      <c r="O366" s="11">
        <v>46210</v>
      </c>
      <c r="P366">
        <v>364</v>
      </c>
    </row>
    <row r="367" spans="15:16">
      <c r="O367" s="11">
        <v>46211</v>
      </c>
      <c r="P367">
        <v>365</v>
      </c>
    </row>
    <row r="368" spans="15:16">
      <c r="O368" s="11">
        <v>46212</v>
      </c>
      <c r="P368">
        <v>366</v>
      </c>
    </row>
    <row r="369" spans="15:16">
      <c r="O369" s="11">
        <v>46213</v>
      </c>
      <c r="P369">
        <v>367</v>
      </c>
    </row>
    <row r="370" spans="15:16">
      <c r="O370" s="11">
        <v>46216</v>
      </c>
      <c r="P370">
        <v>368</v>
      </c>
    </row>
    <row r="371" spans="15:16">
      <c r="O371" s="11">
        <v>46217</v>
      </c>
      <c r="P371">
        <v>369</v>
      </c>
    </row>
    <row r="372" spans="15:16">
      <c r="O372" s="11">
        <v>46218</v>
      </c>
      <c r="P372">
        <v>370</v>
      </c>
    </row>
    <row r="373" spans="15:16">
      <c r="O373" s="11">
        <v>46219</v>
      </c>
      <c r="P373">
        <v>371</v>
      </c>
    </row>
    <row r="374" spans="15:16">
      <c r="O374" s="11">
        <v>46220</v>
      </c>
      <c r="P374">
        <v>372</v>
      </c>
    </row>
    <row r="375" spans="15:16">
      <c r="O375" s="11">
        <v>46223</v>
      </c>
      <c r="P375">
        <v>373</v>
      </c>
    </row>
    <row r="376" spans="15:16">
      <c r="O376" s="11">
        <v>46224</v>
      </c>
      <c r="P376">
        <v>374</v>
      </c>
    </row>
    <row r="377" spans="15:16">
      <c r="O377" s="11">
        <v>46225</v>
      </c>
      <c r="P377">
        <v>375</v>
      </c>
    </row>
    <row r="378" spans="15:16">
      <c r="O378" s="11">
        <v>46226</v>
      </c>
      <c r="P378">
        <v>376</v>
      </c>
    </row>
    <row r="379" spans="15:16">
      <c r="O379" s="11">
        <v>46227</v>
      </c>
      <c r="P379">
        <v>377</v>
      </c>
    </row>
    <row r="380" spans="15:16">
      <c r="O380" s="11">
        <v>46230</v>
      </c>
      <c r="P380">
        <v>378</v>
      </c>
    </row>
    <row r="381" spans="15:16">
      <c r="O381" s="11">
        <v>46231</v>
      </c>
      <c r="P381">
        <v>379</v>
      </c>
    </row>
    <row r="382" spans="15:16">
      <c r="O382" s="11">
        <v>46232</v>
      </c>
      <c r="P382">
        <v>380</v>
      </c>
    </row>
    <row r="383" spans="15:16">
      <c r="O383" s="11">
        <v>46233</v>
      </c>
      <c r="P383">
        <v>381</v>
      </c>
    </row>
    <row r="384" spans="15:16">
      <c r="O384" s="11">
        <v>46234</v>
      </c>
      <c r="P384">
        <v>382</v>
      </c>
    </row>
    <row r="385" spans="15:16">
      <c r="O385" s="11">
        <v>46237</v>
      </c>
      <c r="P385">
        <v>383</v>
      </c>
    </row>
    <row r="386" spans="15:16">
      <c r="O386" s="11">
        <v>46238</v>
      </c>
      <c r="P386">
        <v>384</v>
      </c>
    </row>
    <row r="387" spans="15:16">
      <c r="O387" s="11">
        <v>46239</v>
      </c>
      <c r="P387">
        <v>385</v>
      </c>
    </row>
    <row r="388" spans="15:16">
      <c r="O388" s="11">
        <v>46240</v>
      </c>
      <c r="P388">
        <v>386</v>
      </c>
    </row>
    <row r="389" spans="15:16">
      <c r="O389" s="11">
        <v>46241</v>
      </c>
      <c r="P389">
        <v>387</v>
      </c>
    </row>
    <row r="390" spans="15:16">
      <c r="O390" s="11">
        <v>46244</v>
      </c>
      <c r="P390">
        <v>388</v>
      </c>
    </row>
    <row r="391" spans="15:16">
      <c r="O391" s="11">
        <v>46245</v>
      </c>
      <c r="P391">
        <v>389</v>
      </c>
    </row>
    <row r="392" spans="15:16">
      <c r="O392" s="11">
        <v>46246</v>
      </c>
      <c r="P392">
        <v>390</v>
      </c>
    </row>
    <row r="393" spans="15:16">
      <c r="O393" s="11">
        <v>46247</v>
      </c>
      <c r="P393">
        <v>391</v>
      </c>
    </row>
    <row r="394" spans="15:16">
      <c r="O394" s="11">
        <v>46248</v>
      </c>
      <c r="P394">
        <v>392</v>
      </c>
    </row>
    <row r="395" spans="15:16">
      <c r="O395" s="11">
        <v>46251</v>
      </c>
      <c r="P395">
        <v>393</v>
      </c>
    </row>
    <row r="396" spans="15:16">
      <c r="O396" s="11">
        <v>46252</v>
      </c>
      <c r="P396">
        <v>394</v>
      </c>
    </row>
    <row r="397" spans="15:16">
      <c r="O397" s="11">
        <v>46253</v>
      </c>
      <c r="P397">
        <v>395</v>
      </c>
    </row>
    <row r="398" spans="15:16">
      <c r="O398" s="11">
        <v>46254</v>
      </c>
      <c r="P398">
        <v>396</v>
      </c>
    </row>
    <row r="399" spans="15:16">
      <c r="O399" s="11">
        <v>46255</v>
      </c>
      <c r="P399">
        <v>397</v>
      </c>
    </row>
    <row r="400" spans="15:16">
      <c r="O400" s="11">
        <v>46258</v>
      </c>
      <c r="P400">
        <v>398</v>
      </c>
    </row>
    <row r="401" spans="15:16">
      <c r="O401" s="11">
        <v>46259</v>
      </c>
      <c r="P401">
        <v>399</v>
      </c>
    </row>
    <row r="402" spans="15:16">
      <c r="O402" s="11">
        <v>46260</v>
      </c>
      <c r="P402">
        <v>400</v>
      </c>
    </row>
    <row r="403" spans="15:16">
      <c r="O403" s="11">
        <v>46261</v>
      </c>
      <c r="P403">
        <v>401</v>
      </c>
    </row>
    <row r="404" spans="15:16">
      <c r="O404" s="11">
        <v>46262</v>
      </c>
      <c r="P404">
        <v>402</v>
      </c>
    </row>
    <row r="405" spans="15:16">
      <c r="O405" s="11">
        <v>46265</v>
      </c>
      <c r="P405">
        <v>403</v>
      </c>
    </row>
    <row r="406" spans="15:16">
      <c r="O406" s="11">
        <v>46266</v>
      </c>
      <c r="P406">
        <v>404</v>
      </c>
    </row>
    <row r="407" spans="15:16">
      <c r="O407" s="11">
        <v>46267</v>
      </c>
      <c r="P407">
        <v>405</v>
      </c>
    </row>
    <row r="408" spans="15:16">
      <c r="O408" s="11">
        <v>46268</v>
      </c>
      <c r="P408">
        <v>406</v>
      </c>
    </row>
    <row r="409" spans="15:16">
      <c r="O409" s="11">
        <v>46269</v>
      </c>
      <c r="P409">
        <v>407</v>
      </c>
    </row>
    <row r="410" spans="15:16">
      <c r="O410" s="11">
        <v>46272</v>
      </c>
      <c r="P410">
        <v>408</v>
      </c>
    </row>
    <row r="411" spans="15:16">
      <c r="O411" s="11">
        <v>46273</v>
      </c>
      <c r="P411">
        <v>409</v>
      </c>
    </row>
    <row r="412" spans="15:16">
      <c r="O412" s="11">
        <v>46274</v>
      </c>
      <c r="P412">
        <v>410</v>
      </c>
    </row>
    <row r="413" spans="15:16">
      <c r="O413" s="11">
        <v>46275</v>
      </c>
      <c r="P413">
        <v>411</v>
      </c>
    </row>
    <row r="414" spans="15:16">
      <c r="O414" s="11">
        <v>46276</v>
      </c>
      <c r="P414">
        <v>412</v>
      </c>
    </row>
    <row r="415" spans="15:16">
      <c r="O415" s="11">
        <v>46279</v>
      </c>
      <c r="P415">
        <v>413</v>
      </c>
    </row>
    <row r="416" spans="15:16">
      <c r="O416" s="11">
        <v>46280</v>
      </c>
      <c r="P416">
        <v>414</v>
      </c>
    </row>
    <row r="417" spans="15:16">
      <c r="O417" s="11">
        <v>46281</v>
      </c>
      <c r="P417">
        <v>415</v>
      </c>
    </row>
    <row r="418" spans="15:16">
      <c r="O418" s="11">
        <v>46282</v>
      </c>
      <c r="P418">
        <v>416</v>
      </c>
    </row>
    <row r="419" spans="15:16">
      <c r="O419" s="11">
        <v>46283</v>
      </c>
      <c r="P419">
        <v>417</v>
      </c>
    </row>
    <row r="420" spans="15:16">
      <c r="O420" s="11">
        <v>46286</v>
      </c>
      <c r="P420">
        <v>418</v>
      </c>
    </row>
    <row r="421" spans="15:16">
      <c r="O421" s="11">
        <v>46287</v>
      </c>
      <c r="P421">
        <v>419</v>
      </c>
    </row>
    <row r="422" spans="15:16">
      <c r="O422" s="11">
        <v>46288</v>
      </c>
      <c r="P422">
        <v>420</v>
      </c>
    </row>
    <row r="423" spans="15:16">
      <c r="O423" s="11">
        <v>46289</v>
      </c>
      <c r="P423">
        <v>421</v>
      </c>
    </row>
    <row r="424" spans="15:16">
      <c r="O424" s="11">
        <v>46293</v>
      </c>
      <c r="P424">
        <v>422</v>
      </c>
    </row>
    <row r="425" spans="15:16">
      <c r="O425" s="11">
        <v>46294</v>
      </c>
      <c r="P425">
        <v>423</v>
      </c>
    </row>
    <row r="426" spans="15:16">
      <c r="O426" s="11">
        <v>46295</v>
      </c>
      <c r="P426">
        <v>424</v>
      </c>
    </row>
    <row r="427" spans="15:16">
      <c r="O427" s="11">
        <v>46303</v>
      </c>
      <c r="P427">
        <v>425</v>
      </c>
    </row>
    <row r="428" spans="15:16">
      <c r="O428" s="11">
        <v>46304</v>
      </c>
      <c r="P428">
        <v>426</v>
      </c>
    </row>
    <row r="429" spans="15:16">
      <c r="O429" s="11">
        <v>46307</v>
      </c>
      <c r="P429">
        <v>427</v>
      </c>
    </row>
    <row r="430" spans="15:16">
      <c r="O430" s="11">
        <v>46308</v>
      </c>
      <c r="P430">
        <v>428</v>
      </c>
    </row>
    <row r="431" spans="15:16">
      <c r="O431" s="11">
        <v>46309</v>
      </c>
      <c r="P431">
        <v>429</v>
      </c>
    </row>
    <row r="432" spans="15:16">
      <c r="O432" s="11">
        <v>46310</v>
      </c>
      <c r="P432">
        <v>430</v>
      </c>
    </row>
    <row r="433" spans="15:16">
      <c r="O433" s="11">
        <v>46311</v>
      </c>
      <c r="P433">
        <v>431</v>
      </c>
    </row>
    <row r="434" spans="15:16">
      <c r="O434" s="11">
        <v>46314</v>
      </c>
      <c r="P434">
        <v>432</v>
      </c>
    </row>
    <row r="435" spans="15:16">
      <c r="O435" s="11">
        <v>46315</v>
      </c>
      <c r="P435">
        <v>433</v>
      </c>
    </row>
    <row r="436" spans="15:16">
      <c r="O436" s="11">
        <v>46316</v>
      </c>
      <c r="P436">
        <v>434</v>
      </c>
    </row>
    <row r="437" spans="15:16">
      <c r="O437" s="11">
        <v>46317</v>
      </c>
      <c r="P437">
        <v>435</v>
      </c>
    </row>
    <row r="438" spans="15:16">
      <c r="O438" s="11">
        <v>46318</v>
      </c>
      <c r="P438">
        <v>436</v>
      </c>
    </row>
    <row r="439" spans="15:16">
      <c r="O439" s="11">
        <v>46321</v>
      </c>
      <c r="P439">
        <v>437</v>
      </c>
    </row>
    <row r="440" spans="15:16">
      <c r="O440" s="11">
        <v>46322</v>
      </c>
      <c r="P440">
        <v>438</v>
      </c>
    </row>
    <row r="441" spans="15:16">
      <c r="O441" s="11">
        <v>46323</v>
      </c>
      <c r="P441">
        <v>439</v>
      </c>
    </row>
    <row r="442" spans="15:16">
      <c r="O442" s="11">
        <v>46324</v>
      </c>
      <c r="P442">
        <v>440</v>
      </c>
    </row>
    <row r="443" spans="15:16">
      <c r="O443" s="11">
        <v>46325</v>
      </c>
      <c r="P443">
        <v>441</v>
      </c>
    </row>
    <row r="444" spans="15:16">
      <c r="O444" s="11">
        <v>46328</v>
      </c>
      <c r="P444">
        <v>442</v>
      </c>
    </row>
    <row r="445" spans="15:16">
      <c r="O445" s="11">
        <v>46329</v>
      </c>
      <c r="P445">
        <v>443</v>
      </c>
    </row>
    <row r="446" spans="15:16">
      <c r="O446" s="11">
        <v>46330</v>
      </c>
      <c r="P446">
        <v>444</v>
      </c>
    </row>
    <row r="447" spans="15:16">
      <c r="O447" s="11">
        <v>46331</v>
      </c>
      <c r="P447">
        <v>445</v>
      </c>
    </row>
    <row r="448" spans="15:16">
      <c r="O448" s="11">
        <v>46332</v>
      </c>
      <c r="P448">
        <v>446</v>
      </c>
    </row>
    <row r="449" spans="15:16">
      <c r="O449" s="11">
        <v>46335</v>
      </c>
      <c r="P449">
        <v>447</v>
      </c>
    </row>
    <row r="450" spans="15:16">
      <c r="O450" s="11">
        <v>46336</v>
      </c>
      <c r="P450">
        <v>448</v>
      </c>
    </row>
    <row r="451" spans="15:16">
      <c r="O451" s="11">
        <v>46337</v>
      </c>
      <c r="P451">
        <v>449</v>
      </c>
    </row>
    <row r="452" spans="15:16">
      <c r="O452" s="11">
        <v>46338</v>
      </c>
      <c r="P452">
        <v>450</v>
      </c>
    </row>
    <row r="453" spans="15:16">
      <c r="O453" s="11">
        <v>46339</v>
      </c>
      <c r="P453">
        <v>451</v>
      </c>
    </row>
    <row r="454" spans="15:16">
      <c r="O454" s="11">
        <v>46342</v>
      </c>
      <c r="P454">
        <v>452</v>
      </c>
    </row>
    <row r="455" spans="15:16">
      <c r="O455" s="11">
        <v>46343</v>
      </c>
      <c r="P455">
        <v>453</v>
      </c>
    </row>
    <row r="456" spans="15:16">
      <c r="O456" s="11">
        <v>46344</v>
      </c>
      <c r="P456">
        <v>454</v>
      </c>
    </row>
    <row r="457" spans="15:16">
      <c r="O457" s="11">
        <v>46345</v>
      </c>
      <c r="P457">
        <v>455</v>
      </c>
    </row>
    <row r="458" spans="15:16">
      <c r="O458" s="11">
        <v>46346</v>
      </c>
      <c r="P458">
        <v>456</v>
      </c>
    </row>
    <row r="459" spans="15:16">
      <c r="O459" s="11">
        <v>46349</v>
      </c>
      <c r="P459">
        <v>457</v>
      </c>
    </row>
    <row r="460" spans="15:16">
      <c r="O460" s="11">
        <v>46350</v>
      </c>
      <c r="P460">
        <v>458</v>
      </c>
    </row>
    <row r="461" spans="15:16">
      <c r="O461" s="11">
        <v>46351</v>
      </c>
      <c r="P461">
        <v>459</v>
      </c>
    </row>
    <row r="462" spans="15:16">
      <c r="O462" s="11">
        <v>46352</v>
      </c>
      <c r="P462">
        <v>460</v>
      </c>
    </row>
    <row r="463" spans="15:16">
      <c r="O463" s="11">
        <v>46353</v>
      </c>
      <c r="P463">
        <v>461</v>
      </c>
    </row>
    <row r="464" spans="15:16">
      <c r="O464" s="11">
        <v>46356</v>
      </c>
      <c r="P464">
        <v>462</v>
      </c>
    </row>
    <row r="465" spans="15:16">
      <c r="O465" s="11">
        <v>46357</v>
      </c>
      <c r="P465">
        <v>463</v>
      </c>
    </row>
    <row r="466" spans="15:16">
      <c r="O466" s="11">
        <v>46358</v>
      </c>
      <c r="P466">
        <v>464</v>
      </c>
    </row>
    <row r="467" spans="15:16">
      <c r="O467" s="11">
        <v>46359</v>
      </c>
      <c r="P467">
        <v>465</v>
      </c>
    </row>
    <row r="468" spans="15:16">
      <c r="O468" s="11">
        <v>46360</v>
      </c>
      <c r="P468">
        <v>466</v>
      </c>
    </row>
    <row r="469" spans="15:16">
      <c r="O469" s="11">
        <v>46363</v>
      </c>
      <c r="P469">
        <v>467</v>
      </c>
    </row>
    <row r="470" spans="15:16">
      <c r="O470" s="11">
        <v>46364</v>
      </c>
      <c r="P470">
        <v>468</v>
      </c>
    </row>
    <row r="471" spans="15:16">
      <c r="O471" s="11">
        <v>46365</v>
      </c>
      <c r="P471">
        <v>469</v>
      </c>
    </row>
    <row r="472" spans="15:16">
      <c r="O472" s="11">
        <v>46366</v>
      </c>
      <c r="P472">
        <v>470</v>
      </c>
    </row>
    <row r="473" spans="15:16">
      <c r="O473" s="11">
        <v>46367</v>
      </c>
      <c r="P473">
        <v>471</v>
      </c>
    </row>
    <row r="474" spans="15:16">
      <c r="O474" s="11">
        <v>46370</v>
      </c>
      <c r="P474">
        <v>472</v>
      </c>
    </row>
    <row r="475" spans="15:16">
      <c r="O475" s="11">
        <v>46371</v>
      </c>
      <c r="P475">
        <v>473</v>
      </c>
    </row>
    <row r="476" spans="15:16">
      <c r="O476" s="11">
        <v>46372</v>
      </c>
      <c r="P476">
        <v>474</v>
      </c>
    </row>
    <row r="477" spans="15:16">
      <c r="O477" s="11">
        <v>46373</v>
      </c>
      <c r="P477">
        <v>475</v>
      </c>
    </row>
    <row r="478" spans="15:16">
      <c r="O478" s="11">
        <v>46374</v>
      </c>
      <c r="P478">
        <v>476</v>
      </c>
    </row>
    <row r="479" spans="15:16">
      <c r="O479" s="11">
        <v>46377</v>
      </c>
      <c r="P479">
        <v>477</v>
      </c>
    </row>
    <row r="480" spans="15:16">
      <c r="O480" s="11">
        <v>46378</v>
      </c>
      <c r="P480">
        <v>478</v>
      </c>
    </row>
    <row r="481" spans="15:16">
      <c r="O481" s="11">
        <v>46379</v>
      </c>
      <c r="P481">
        <v>479</v>
      </c>
    </row>
    <row r="482" spans="15:16">
      <c r="O482" s="11">
        <v>46380</v>
      </c>
      <c r="P482">
        <v>480</v>
      </c>
    </row>
    <row r="483" spans="15:16">
      <c r="O483" s="11">
        <v>46381</v>
      </c>
      <c r="P483">
        <v>481</v>
      </c>
    </row>
    <row r="484" spans="15:16">
      <c r="O484" s="11">
        <v>46384</v>
      </c>
      <c r="P484">
        <v>482</v>
      </c>
    </row>
    <row r="485" spans="15:16">
      <c r="O485" s="11">
        <v>46385</v>
      </c>
      <c r="P485">
        <v>483</v>
      </c>
    </row>
    <row r="486" spans="15:16">
      <c r="O486" s="11">
        <v>46386</v>
      </c>
      <c r="P486">
        <v>484</v>
      </c>
    </row>
    <row r="487" spans="15:16">
      <c r="O487" s="11">
        <v>46387</v>
      </c>
      <c r="P487">
        <v>485</v>
      </c>
    </row>
    <row r="488" spans="15:16">
      <c r="O488" s="34"/>
    </row>
    <row r="489" spans="15:16">
      <c r="O489" s="34"/>
    </row>
    <row r="490" spans="15:16">
      <c r="O490" s="34"/>
    </row>
    <row r="491" spans="15:16">
      <c r="O491" s="34"/>
    </row>
    <row r="492" spans="15:16">
      <c r="O492" s="34"/>
    </row>
    <row r="493" spans="15:16">
      <c r="O493" s="34"/>
    </row>
    <row r="494" spans="15:16">
      <c r="O494" s="34"/>
    </row>
    <row r="495" spans="15:16">
      <c r="O495" s="34"/>
    </row>
    <row r="496" spans="15:16">
      <c r="O496" s="34"/>
    </row>
    <row r="497" spans="15:15">
      <c r="O497" s="34"/>
    </row>
    <row r="498" spans="15:15">
      <c r="O498" s="34"/>
    </row>
    <row r="499" spans="15:15">
      <c r="O499" s="34"/>
    </row>
    <row r="500" spans="15:15">
      <c r="O500" s="34"/>
    </row>
    <row r="501" spans="15:15">
      <c r="O501" s="34"/>
    </row>
    <row r="502" spans="15:15">
      <c r="O502" s="34"/>
    </row>
    <row r="503" spans="15:15">
      <c r="O503" s="34"/>
    </row>
    <row r="504" spans="15:15">
      <c r="O504" s="34"/>
    </row>
    <row r="505" spans="15:15">
      <c r="O505" s="34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Dongbo Yao</dc:creator>
  <cp:lastModifiedBy>杜世文</cp:lastModifiedBy>
  <dcterms:created xsi:type="dcterms:W3CDTF">2025-07-23T05:23:00Z</dcterms:created>
  <dcterms:modified xsi:type="dcterms:W3CDTF">2026-05-11T07:49:46Z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F0342AC9-1DED-4EF5-B051-0A9F11496203</vt:lpwstr>
  </property>
  <property fmtid="{D5CDD505-2E9C-101B-9397-08002B2CF9AE}" pid="3" name="ICV">
    <vt:lpwstr>6B2DDF9FAE964FC19433CB74303A073E_13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